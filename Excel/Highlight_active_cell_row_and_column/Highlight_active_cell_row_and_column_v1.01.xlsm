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https://d.docs.live.net/194fd308f544d0cd/ドキュメント/Excel/Highlight_active_cell_row_and_column/"/>
    </mc:Choice>
  </mc:AlternateContent>
  <xr:revisionPtr revIDLastSave="57" documentId="11_C5D6B19D331AF9D0059C97E2BE9F0C8EFBDAF362" xr6:coauthVersionLast="45" xr6:coauthVersionMax="45" xr10:uidLastSave="{71EA6D10-C94E-49F6-A956-617F7A1CBE2A}"/>
  <bookViews>
    <workbookView xWindow="-108" yWindow="-108" windowWidth="23256" windowHeight="12576" xr2:uid="{E6475E13-DDF8-497F-8B3A-ED1521DCF866}"/>
  </bookViews>
  <sheets>
    <sheet name="メトリックス" sheetId="1" r:id="rId1"/>
    <sheet name="設定" sheetId="2" r:id="rId2"/>
    <sheet name="変更履歴、他" sheetId="3" r:id="rId3"/>
  </sheets>
  <definedNames>
    <definedName name="_xlnm._FilterDatabase" localSheetId="0" hidden="1">メトリックス!$A$2:$L$18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3" i="1" l="1"/>
  <c r="K13" i="1"/>
  <c r="J13" i="1"/>
  <c r="I13" i="1"/>
  <c r="H13" i="1"/>
  <c r="G13" i="1"/>
  <c r="F13" i="1"/>
  <c r="E13" i="1"/>
  <c r="D13" i="1"/>
  <c r="C13" i="1"/>
  <c r="M12" i="1"/>
  <c r="M11" i="1"/>
  <c r="M10" i="1"/>
  <c r="M9" i="1"/>
  <c r="M8" i="1"/>
  <c r="M7" i="1"/>
  <c r="M6" i="1"/>
  <c r="M5" i="1"/>
  <c r="M4" i="1"/>
  <c r="M3" i="1"/>
  <c r="F14" i="2" l="1"/>
  <c r="F13" i="2"/>
  <c r="E13" i="2"/>
  <c r="M13" i="1" l="1"/>
  <c r="I4" i="2"/>
  <c r="J4" i="2"/>
  <c r="K4" i="2"/>
  <c r="L4" i="2"/>
  <c r="M4" i="2"/>
  <c r="N4" i="2"/>
  <c r="O4" i="2"/>
  <c r="P4" i="2"/>
  <c r="Q4" i="2"/>
  <c r="I5" i="2"/>
  <c r="J5" i="2"/>
  <c r="K5" i="2"/>
  <c r="L5" i="2"/>
  <c r="M5" i="2"/>
  <c r="N5" i="2"/>
  <c r="O5" i="2"/>
  <c r="P5" i="2"/>
  <c r="Q5" i="2"/>
  <c r="I6" i="2"/>
  <c r="J6" i="2"/>
  <c r="K6" i="2"/>
  <c r="L6" i="2"/>
  <c r="M6" i="2"/>
  <c r="N6" i="2"/>
  <c r="O6" i="2"/>
  <c r="P6" i="2"/>
  <c r="Q6" i="2"/>
  <c r="I7" i="2"/>
  <c r="J7" i="2"/>
  <c r="K7" i="2"/>
  <c r="L7" i="2"/>
  <c r="M7" i="2"/>
  <c r="N7" i="2"/>
  <c r="O7" i="2"/>
  <c r="P7" i="2"/>
  <c r="Q7" i="2"/>
  <c r="I8" i="2"/>
  <c r="J8" i="2"/>
  <c r="K8" i="2"/>
  <c r="L8" i="2"/>
  <c r="M8" i="2"/>
  <c r="N8" i="2"/>
  <c r="O8" i="2"/>
  <c r="P8" i="2"/>
  <c r="Q8" i="2"/>
  <c r="I9" i="2"/>
  <c r="J9" i="2"/>
  <c r="K9" i="2"/>
  <c r="L9" i="2"/>
  <c r="M9" i="2"/>
  <c r="N9" i="2"/>
  <c r="H5" i="2"/>
  <c r="H6" i="2"/>
  <c r="H7" i="2"/>
  <c r="H8" i="2"/>
  <c r="H9" i="2"/>
  <c r="H4" i="2"/>
</calcChain>
</file>

<file path=xl/sharedStrings.xml><?xml version="1.0" encoding="utf-8"?>
<sst xmlns="http://schemas.openxmlformats.org/spreadsheetml/2006/main" count="110" uniqueCount="53">
  <si>
    <t>No.</t>
    <phoneticPr fontId="2"/>
  </si>
  <si>
    <t>END</t>
    <phoneticPr fontId="2"/>
  </si>
  <si>
    <t>項目</t>
    <rPh sb="0" eb="2">
      <t>コウモク</t>
    </rPh>
    <phoneticPr fontId="2"/>
  </si>
  <si>
    <t>テスト</t>
    <phoneticPr fontId="2"/>
  </si>
  <si>
    <t>項目１</t>
    <rPh sb="0" eb="2">
      <t>コウモク</t>
    </rPh>
    <phoneticPr fontId="2"/>
  </si>
  <si>
    <t>項目２</t>
    <rPh sb="0" eb="2">
      <t>コウモク</t>
    </rPh>
    <phoneticPr fontId="2"/>
  </si>
  <si>
    <t>項目３</t>
    <rPh sb="0" eb="2">
      <t>コウモク</t>
    </rPh>
    <phoneticPr fontId="2"/>
  </si>
  <si>
    <t>項目４</t>
    <rPh sb="0" eb="2">
      <t>コウモク</t>
    </rPh>
    <phoneticPr fontId="2"/>
  </si>
  <si>
    <t>項目５</t>
    <rPh sb="0" eb="2">
      <t>コウモク</t>
    </rPh>
    <phoneticPr fontId="2"/>
  </si>
  <si>
    <t>項目６</t>
    <rPh sb="0" eb="2">
      <t>コウモク</t>
    </rPh>
    <phoneticPr fontId="2"/>
  </si>
  <si>
    <t>項目７</t>
    <rPh sb="0" eb="2">
      <t>コウモク</t>
    </rPh>
    <phoneticPr fontId="2"/>
  </si>
  <si>
    <t>項目８</t>
    <rPh sb="0" eb="2">
      <t>コウモク</t>
    </rPh>
    <phoneticPr fontId="2"/>
  </si>
  <si>
    <t>項目９</t>
    <rPh sb="0" eb="2">
      <t>コウモク</t>
    </rPh>
    <phoneticPr fontId="2"/>
  </si>
  <si>
    <t>項目１０</t>
    <rPh sb="0" eb="2">
      <t>コウモク</t>
    </rPh>
    <phoneticPr fontId="2"/>
  </si>
  <si>
    <t>ColorIndex</t>
    <phoneticPr fontId="2"/>
  </si>
  <si>
    <t>Area1</t>
    <phoneticPr fontId="2"/>
  </si>
  <si>
    <t>Area2</t>
    <phoneticPr fontId="2"/>
  </si>
  <si>
    <t>Area3</t>
    <phoneticPr fontId="2"/>
  </si>
  <si>
    <t>Active cell</t>
    <phoneticPr fontId="2"/>
  </si>
  <si>
    <t>Active row</t>
    <phoneticPr fontId="2"/>
  </si>
  <si>
    <t>Active column</t>
    <phoneticPr fontId="2"/>
  </si>
  <si>
    <t>○</t>
  </si>
  <si>
    <t>○</t>
    <phoneticPr fontId="2"/>
  </si>
  <si>
    <t>■</t>
  </si>
  <si>
    <t>■</t>
    <phoneticPr fontId="2"/>
  </si>
  <si>
    <t>－</t>
  </si>
  <si>
    <t>－</t>
    <phoneticPr fontId="2"/>
  </si>
  <si>
    <t>No.</t>
    <phoneticPr fontId="2"/>
  </si>
  <si>
    <t>○</t>
    <phoneticPr fontId="2"/>
  </si>
  <si>
    <t>END</t>
  </si>
  <si>
    <t>合計</t>
    <rPh sb="0" eb="2">
      <t>ゴウケイ</t>
    </rPh>
    <phoneticPr fontId="2"/>
  </si>
  <si>
    <t>対象（未完了）</t>
    <rPh sb="0" eb="2">
      <t>タイショウ</t>
    </rPh>
    <rPh sb="3" eb="6">
      <t>ミカンリョウ</t>
    </rPh>
    <phoneticPr fontId="2"/>
  </si>
  <si>
    <t>対象（完了）</t>
    <rPh sb="0" eb="2">
      <t>タイショウ</t>
    </rPh>
    <rPh sb="3" eb="5">
      <t>カンリョウ</t>
    </rPh>
    <phoneticPr fontId="2"/>
  </si>
  <si>
    <t>対象外</t>
    <rPh sb="0" eb="3">
      <t>タイショウガイ</t>
    </rPh>
    <phoneticPr fontId="2"/>
  </si>
  <si>
    <t>新規作成</t>
    <rPh sb="0" eb="2">
      <t>シンキ</t>
    </rPh>
    <rPh sb="2" eb="4">
      <t>サクセイ</t>
    </rPh>
    <phoneticPr fontId="2"/>
  </si>
  <si>
    <t>■変更履歴</t>
    <rPh sb="1" eb="3">
      <t>ヘンコウ</t>
    </rPh>
    <rPh sb="3" eb="5">
      <t>リレキ</t>
    </rPh>
    <phoneticPr fontId="2"/>
  </si>
  <si>
    <t>■作成</t>
    <rPh sb="1" eb="3">
      <t>サクセイ</t>
    </rPh>
    <phoneticPr fontId="2"/>
  </si>
  <si>
    <t>木下英俊</t>
    <rPh sb="0" eb="2">
      <t>キノシタ</t>
    </rPh>
    <rPh sb="2" eb="4">
      <t>ヒデトシ</t>
    </rPh>
    <phoneticPr fontId="2"/>
  </si>
  <si>
    <t>■まだ不満で改善したいこと</t>
    <rPh sb="3" eb="5">
      <t>フマン</t>
    </rPh>
    <rPh sb="6" eb="8">
      <t>カイゼン</t>
    </rPh>
    <phoneticPr fontId="2"/>
  </si>
  <si>
    <t>■設定可能内容</t>
    <rPh sb="1" eb="3">
      <t>セッテイ</t>
    </rPh>
    <rPh sb="3" eb="5">
      <t>カノウ</t>
    </rPh>
    <rPh sb="5" eb="7">
      <t>ナイヨウ</t>
    </rPh>
    <phoneticPr fontId="2"/>
  </si>
  <si>
    <t>■カウント対象</t>
    <rPh sb="5" eb="7">
      <t>タイショウ</t>
    </rPh>
    <phoneticPr fontId="2"/>
  </si>
  <si>
    <t>■オートフィルタ対象</t>
    <rPh sb="8" eb="10">
      <t>タイショウ</t>
    </rPh>
    <phoneticPr fontId="2"/>
  </si>
  <si>
    <t>ColorIndex サンプル</t>
    <phoneticPr fontId="2"/>
  </si>
  <si>
    <t>△</t>
  </si>
  <si>
    <t>「設定」シート中のカラーインデックスを、設定した色へ実際に変更するように変更</t>
    <rPh sb="1" eb="3">
      <t>セッテイ</t>
    </rPh>
    <rPh sb="7" eb="8">
      <t>チュウ</t>
    </rPh>
    <rPh sb="20" eb="22">
      <t>セッテイ</t>
    </rPh>
    <rPh sb="24" eb="25">
      <t>イロ</t>
    </rPh>
    <rPh sb="26" eb="28">
      <t>ジッサイ</t>
    </rPh>
    <rPh sb="29" eb="31">
      <t>ヘンコウ</t>
    </rPh>
    <rPh sb="36" eb="38">
      <t>ヘンコウ</t>
    </rPh>
    <phoneticPr fontId="2"/>
  </si>
  <si>
    <t>v1.00</t>
    <phoneticPr fontId="2"/>
  </si>
  <si>
    <t>v1.01</t>
    <phoneticPr fontId="2"/>
  </si>
  <si>
    <t>・エリア内は余分な操作をさせないためにマウス右クリックからのコンテキストメニューを封印したが、エリア外は通常のコンテキストメニューを使えるようにしたい。</t>
    <rPh sb="4" eb="5">
      <t>ナイ</t>
    </rPh>
    <rPh sb="6" eb="8">
      <t>ヨブン</t>
    </rPh>
    <rPh sb="9" eb="11">
      <t>ソウサ</t>
    </rPh>
    <rPh sb="22" eb="23">
      <t>ミギ</t>
    </rPh>
    <rPh sb="41" eb="43">
      <t>フウイン</t>
    </rPh>
    <rPh sb="50" eb="51">
      <t>ガイ</t>
    </rPh>
    <rPh sb="52" eb="54">
      <t>ツウジョウ</t>
    </rPh>
    <rPh sb="66" eb="67">
      <t>ツカ</t>
    </rPh>
    <phoneticPr fontId="2"/>
  </si>
  <si>
    <t>■ラインセンス</t>
    <phoneticPr fontId="5"/>
  </si>
  <si>
    <r>
      <t xml:space="preserve">Excelメトリックス
Copyright © 2017-2020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6" eb="77">
      <t>ホン</t>
    </rPh>
    <rPh sb="83" eb="86">
      <t>チョサクケン</t>
    </rPh>
    <rPh sb="86" eb="87">
      <t>シャ</t>
    </rPh>
    <rPh sb="89" eb="91">
      <t>シヨウ</t>
    </rPh>
    <rPh sb="91" eb="93">
      <t>キョカ</t>
    </rPh>
    <rPh sb="94" eb="95">
      <t>エ</t>
    </rPh>
    <rPh sb="197" eb="199">
      <t>ケンリ</t>
    </rPh>
    <rPh sb="200" eb="201">
      <t>フク</t>
    </rPh>
    <rPh sb="243" eb="246">
      <t>ダイサンシャ</t>
    </rPh>
    <rPh sb="254" eb="256">
      <t>キョカ</t>
    </rPh>
    <phoneticPr fontId="5"/>
  </si>
  <si>
    <t>△</t>
    <phoneticPr fontId="2"/>
  </si>
  <si>
    <t>オートフィルタ対象を「設定」で指定できるように変更</t>
    <rPh sb="7" eb="9">
      <t>タイショウ</t>
    </rPh>
    <rPh sb="11" eb="13">
      <t>セッテイ</t>
    </rPh>
    <rPh sb="15" eb="17">
      <t>シテイ</t>
    </rPh>
    <rPh sb="23" eb="25">
      <t>ヘンコウ</t>
    </rPh>
    <phoneticPr fontId="2"/>
  </si>
  <si>
    <t>カウント対象を「設定」で指定できるように変更</t>
    <rPh sb="4" eb="6">
      <t>タイショウ</t>
    </rPh>
    <rPh sb="8" eb="10">
      <t>セッテイ</t>
    </rPh>
    <rPh sb="12" eb="14">
      <t>シテイ</t>
    </rPh>
    <rPh sb="20" eb="22">
      <t>ヘンコウ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</si>
</sst>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7"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sz val="11"/>
      <color rgb="FFFF0000"/>
      <name val="游ゴシック"/>
      <family val="3"/>
      <charset val="128"/>
      <scheme val="minor"/>
    </font>
    <font>
      <b/>
      <sz val="11"/>
      <name val="游ゴシック"/>
      <family val="3"/>
      <charset val="128"/>
      <scheme val="minor"/>
    </font>
    <font>
      <sz val="6"/>
      <name val="Meiryo UI"/>
      <family val="2"/>
      <charset val="128"/>
    </font>
    <font>
      <b/>
      <sz val="10"/>
      <color theme="1"/>
      <name val="Meiryo UI"/>
      <family val="3"/>
      <charset val="128"/>
    </font>
  </fonts>
  <fills count="59">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44"/>
        <bgColor indexed="64"/>
      </patternFill>
    </fill>
    <fill>
      <patternFill patternType="solid">
        <fgColor indexed="45"/>
        <bgColor indexed="64"/>
      </patternFill>
    </fill>
    <fill>
      <patternFill patternType="solid">
        <fgColor indexed="39"/>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7"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6">
    <xf numFmtId="0" fontId="0" fillId="0" borderId="0" xfId="0">
      <alignment vertical="center"/>
    </xf>
    <xf numFmtId="0" fontId="3"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lignment vertical="center"/>
    </xf>
    <xf numFmtId="0" fontId="0" fillId="0" borderId="1" xfId="0" applyFill="1" applyBorder="1" applyAlignment="1">
      <alignment horizontal="center" vertical="center"/>
    </xf>
    <xf numFmtId="0" fontId="0" fillId="0" borderId="0" xfId="0" applyFill="1" applyBorder="1">
      <alignment vertical="center"/>
    </xf>
    <xf numFmtId="0" fontId="0" fillId="0" borderId="0" xfId="0" applyFill="1" applyAlignment="1">
      <alignment horizontal="center" vertical="center"/>
    </xf>
    <xf numFmtId="0" fontId="4" fillId="9" borderId="1" xfId="0" applyFont="1" applyFill="1" applyBorder="1">
      <alignment vertical="center"/>
    </xf>
    <xf numFmtId="0" fontId="4" fillId="9" borderId="1" xfId="0" applyFont="1" applyFill="1" applyBorder="1" applyAlignment="1"/>
    <xf numFmtId="176" fontId="4" fillId="12"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top" textRotation="180" wrapText="1"/>
    </xf>
    <xf numFmtId="176" fontId="4" fillId="12" borderId="1" xfId="0" applyNumberFormat="1" applyFont="1" applyFill="1" applyBorder="1">
      <alignment vertical="center"/>
    </xf>
    <xf numFmtId="0" fontId="4" fillId="12" borderId="1" xfId="0" applyFont="1" applyFill="1" applyBorder="1">
      <alignment vertical="center"/>
    </xf>
    <xf numFmtId="0" fontId="1" fillId="0" borderId="0" xfId="0" applyFont="1" applyFill="1" applyBorder="1" applyAlignment="1">
      <alignment horizontal="center" vertical="top"/>
    </xf>
    <xf numFmtId="0" fontId="3" fillId="0" borderId="0" xfId="0" applyFont="1" applyFill="1" applyBorder="1" applyAlignment="1">
      <alignment horizontal="left" vertical="center"/>
    </xf>
    <xf numFmtId="176" fontId="4" fillId="12" borderId="2" xfId="0" applyNumberFormat="1" applyFont="1" applyFill="1" applyBorder="1">
      <alignment vertical="center"/>
    </xf>
    <xf numFmtId="0" fontId="4" fillId="12" borderId="2" xfId="0" applyFont="1" applyFill="1" applyBorder="1">
      <alignment vertical="center"/>
    </xf>
    <xf numFmtId="0" fontId="0" fillId="0" borderId="2" xfId="0" applyFill="1" applyBorder="1" applyAlignment="1">
      <alignment horizontal="center"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Border="1" applyAlignment="1">
      <alignment horizontal="left" vertical="center" wrapText="1"/>
    </xf>
    <xf numFmtId="0" fontId="0" fillId="0" borderId="0" xfId="0" applyBorder="1" applyAlignment="1">
      <alignment vertical="center" wrapText="1"/>
    </xf>
    <xf numFmtId="0" fontId="0" fillId="0" borderId="1" xfId="0" applyFill="1" applyBorder="1" applyProtection="1">
      <alignment vertical="center"/>
    </xf>
    <xf numFmtId="0" fontId="0" fillId="4" borderId="1" xfId="0" applyFill="1" applyBorder="1" applyProtection="1">
      <alignment vertical="center"/>
    </xf>
    <xf numFmtId="0" fontId="0" fillId="5" borderId="1" xfId="0" applyFill="1" applyBorder="1" applyProtection="1">
      <alignment vertical="center"/>
    </xf>
    <xf numFmtId="0" fontId="0" fillId="6" borderId="1" xfId="0" applyFill="1" applyBorder="1" applyProtection="1">
      <alignment vertical="center"/>
    </xf>
    <xf numFmtId="0" fontId="0" fillId="7" borderId="1" xfId="0" applyFill="1" applyBorder="1" applyProtection="1">
      <alignment vertical="center"/>
    </xf>
    <xf numFmtId="0" fontId="0" fillId="8" borderId="1" xfId="0" applyFill="1" applyBorder="1" applyProtection="1">
      <alignment vertical="center"/>
    </xf>
    <xf numFmtId="0" fontId="0" fillId="2" borderId="1" xfId="0" applyFill="1" applyBorder="1" applyProtection="1">
      <alignment vertical="center"/>
    </xf>
    <xf numFmtId="0" fontId="0" fillId="15" borderId="1" xfId="0" applyFill="1" applyBorder="1" applyProtection="1">
      <alignment vertical="center"/>
    </xf>
    <xf numFmtId="0" fontId="0" fillId="16" borderId="1" xfId="0" applyFill="1" applyBorder="1" applyProtection="1">
      <alignment vertical="center"/>
    </xf>
    <xf numFmtId="0" fontId="0" fillId="17" borderId="1" xfId="0" applyFill="1" applyBorder="1" applyProtection="1">
      <alignment vertical="center"/>
    </xf>
    <xf numFmtId="0" fontId="0" fillId="18" borderId="1" xfId="0" applyFill="1" applyBorder="1" applyProtection="1">
      <alignment vertical="center"/>
    </xf>
    <xf numFmtId="0" fontId="0" fillId="19" borderId="1" xfId="0" applyFill="1" applyBorder="1" applyProtection="1">
      <alignment vertical="center"/>
    </xf>
    <xf numFmtId="0" fontId="0" fillId="20" borderId="1" xfId="0" applyFill="1" applyBorder="1" applyProtection="1">
      <alignment vertical="center"/>
    </xf>
    <xf numFmtId="0" fontId="0" fillId="21" borderId="1" xfId="0" applyFill="1" applyBorder="1" applyProtection="1">
      <alignment vertical="center"/>
    </xf>
    <xf numFmtId="0" fontId="0" fillId="22" borderId="1" xfId="0" applyFill="1" applyBorder="1" applyProtection="1">
      <alignment vertical="center"/>
    </xf>
    <xf numFmtId="0" fontId="0" fillId="23" borderId="1" xfId="0" applyFill="1" applyBorder="1" applyProtection="1">
      <alignment vertical="center"/>
    </xf>
    <xf numFmtId="0" fontId="0" fillId="24" borderId="1" xfId="0" applyFill="1" applyBorder="1" applyProtection="1">
      <alignment vertical="center"/>
    </xf>
    <xf numFmtId="0" fontId="0" fillId="25" borderId="1" xfId="0" applyFill="1" applyBorder="1" applyProtection="1">
      <alignment vertical="center"/>
    </xf>
    <xf numFmtId="0" fontId="0" fillId="26" borderId="1" xfId="0" applyFill="1" applyBorder="1" applyProtection="1">
      <alignment vertical="center"/>
    </xf>
    <xf numFmtId="0" fontId="0" fillId="27" borderId="1" xfId="0" applyFill="1" applyBorder="1" applyProtection="1">
      <alignment vertical="center"/>
    </xf>
    <xf numFmtId="0" fontId="0" fillId="28" borderId="1" xfId="0" applyFill="1" applyBorder="1" applyProtection="1">
      <alignment vertical="center"/>
    </xf>
    <xf numFmtId="0" fontId="0" fillId="29" borderId="1" xfId="0" applyFill="1" applyBorder="1" applyProtection="1">
      <alignment vertical="center"/>
    </xf>
    <xf numFmtId="0" fontId="0" fillId="30" borderId="1" xfId="0" applyFill="1" applyBorder="1" applyProtection="1">
      <alignment vertical="center"/>
    </xf>
    <xf numFmtId="0" fontId="0" fillId="31" borderId="1" xfId="0" applyFill="1" applyBorder="1" applyProtection="1">
      <alignment vertical="center"/>
    </xf>
    <xf numFmtId="0" fontId="0" fillId="32" borderId="1" xfId="0" applyFill="1" applyBorder="1" applyProtection="1">
      <alignment vertical="center"/>
    </xf>
    <xf numFmtId="0" fontId="0" fillId="33" borderId="1" xfId="0" applyFill="1" applyBorder="1" applyProtection="1">
      <alignment vertical="center"/>
    </xf>
    <xf numFmtId="0" fontId="0" fillId="34" borderId="1" xfId="0" applyFill="1" applyBorder="1" applyProtection="1">
      <alignment vertical="center"/>
    </xf>
    <xf numFmtId="0" fontId="0" fillId="35" borderId="1" xfId="0" applyFill="1" applyBorder="1" applyProtection="1">
      <alignment vertical="center"/>
    </xf>
    <xf numFmtId="0" fontId="0" fillId="36" borderId="1" xfId="0" applyFill="1" applyBorder="1" applyProtection="1">
      <alignment vertical="center"/>
    </xf>
    <xf numFmtId="0" fontId="0" fillId="37" borderId="1" xfId="0" applyFill="1" applyBorder="1" applyProtection="1">
      <alignment vertical="center"/>
    </xf>
    <xf numFmtId="0" fontId="0" fillId="38" borderId="1" xfId="0" applyFill="1" applyBorder="1" applyProtection="1">
      <alignment vertical="center"/>
    </xf>
    <xf numFmtId="0" fontId="0" fillId="39" borderId="1" xfId="0" applyFill="1" applyBorder="1" applyProtection="1">
      <alignment vertical="center"/>
    </xf>
    <xf numFmtId="0" fontId="0" fillId="14" borderId="1" xfId="0" applyFill="1" applyBorder="1" applyProtection="1">
      <alignment vertical="center"/>
    </xf>
    <xf numFmtId="0" fontId="0" fillId="11" borderId="1" xfId="0" applyFill="1" applyBorder="1" applyProtection="1">
      <alignment vertical="center"/>
    </xf>
    <xf numFmtId="0" fontId="0" fillId="9" borderId="1" xfId="0" applyFill="1" applyBorder="1" applyProtection="1">
      <alignment vertical="center"/>
    </xf>
    <xf numFmtId="0" fontId="0" fillId="10" borderId="1" xfId="0" applyFill="1" applyBorder="1" applyProtection="1">
      <alignment vertical="center"/>
    </xf>
    <xf numFmtId="0" fontId="0" fillId="3" borderId="1" xfId="0" applyFill="1" applyBorder="1" applyProtection="1">
      <alignment vertical="center"/>
    </xf>
    <xf numFmtId="0" fontId="0" fillId="12" borderId="1" xfId="0" applyFill="1" applyBorder="1" applyProtection="1">
      <alignment vertical="center"/>
    </xf>
    <xf numFmtId="0" fontId="0" fillId="13" borderId="1" xfId="0" applyFill="1" applyBorder="1" applyProtection="1">
      <alignment vertical="center"/>
    </xf>
    <xf numFmtId="0" fontId="0" fillId="40" borderId="1" xfId="0" applyFill="1" applyBorder="1" applyProtection="1">
      <alignment vertical="center"/>
    </xf>
    <xf numFmtId="0" fontId="0" fillId="41" borderId="1" xfId="0" applyFill="1" applyBorder="1" applyProtection="1">
      <alignment vertical="center"/>
    </xf>
    <xf numFmtId="0" fontId="0" fillId="42" borderId="1" xfId="0" applyFill="1" applyBorder="1" applyProtection="1">
      <alignment vertical="center"/>
    </xf>
    <xf numFmtId="0" fontId="0" fillId="43" borderId="1" xfId="0" applyFill="1" applyBorder="1" applyProtection="1">
      <alignment vertical="center"/>
    </xf>
    <xf numFmtId="0" fontId="0" fillId="44" borderId="1" xfId="0" applyFill="1" applyBorder="1" applyProtection="1">
      <alignment vertical="center"/>
    </xf>
    <xf numFmtId="0" fontId="0" fillId="45" borderId="1" xfId="0" applyFill="1" applyBorder="1" applyProtection="1">
      <alignment vertical="center"/>
    </xf>
    <xf numFmtId="0" fontId="0" fillId="46" borderId="1" xfId="0" applyFill="1" applyBorder="1" applyProtection="1">
      <alignment vertical="center"/>
    </xf>
    <xf numFmtId="0" fontId="0" fillId="47" borderId="1" xfId="0" applyFill="1" applyBorder="1" applyProtection="1">
      <alignment vertical="center"/>
    </xf>
    <xf numFmtId="0" fontId="0" fillId="48" borderId="1" xfId="0" applyFill="1" applyBorder="1" applyProtection="1">
      <alignment vertical="center"/>
    </xf>
    <xf numFmtId="0" fontId="0" fillId="49" borderId="1" xfId="0" applyFill="1" applyBorder="1" applyProtection="1">
      <alignment vertical="center"/>
    </xf>
    <xf numFmtId="0" fontId="0" fillId="50" borderId="1" xfId="0" applyFill="1" applyBorder="1" applyProtection="1">
      <alignment vertical="center"/>
    </xf>
    <xf numFmtId="0" fontId="0" fillId="51" borderId="1" xfId="0" applyFill="1" applyBorder="1" applyProtection="1">
      <alignment vertical="center"/>
    </xf>
    <xf numFmtId="0" fontId="0" fillId="52" borderId="1" xfId="0" applyFill="1" applyBorder="1" applyProtection="1">
      <alignment vertical="center"/>
    </xf>
    <xf numFmtId="0" fontId="0" fillId="53" borderId="1" xfId="0" applyFill="1" applyBorder="1" applyProtection="1">
      <alignment vertical="center"/>
    </xf>
    <xf numFmtId="0" fontId="0" fillId="54" borderId="1" xfId="0" applyFill="1" applyBorder="1" applyProtection="1">
      <alignment vertical="center"/>
    </xf>
    <xf numFmtId="0" fontId="0" fillId="55" borderId="1" xfId="0" applyFill="1" applyBorder="1" applyProtection="1">
      <alignment vertical="center"/>
    </xf>
    <xf numFmtId="0" fontId="0" fillId="56" borderId="1" xfId="0" applyFill="1" applyBorder="1" applyProtection="1">
      <alignment vertical="center"/>
    </xf>
    <xf numFmtId="0" fontId="0" fillId="57" borderId="1" xfId="0" applyFill="1" applyBorder="1" applyProtection="1">
      <alignment vertical="center"/>
    </xf>
    <xf numFmtId="0" fontId="0" fillId="0" borderId="0" xfId="0" applyProtection="1">
      <alignment vertical="center"/>
    </xf>
    <xf numFmtId="0" fontId="0" fillId="0" borderId="1" xfId="0" applyBorder="1" applyProtection="1">
      <alignment vertical="center"/>
    </xf>
    <xf numFmtId="0" fontId="0" fillId="58" borderId="1" xfId="0" applyFill="1" applyBorder="1" applyProtection="1">
      <alignmen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152400</xdr:rowOff>
        </xdr:from>
        <xdr:to>
          <xdr:col>3</xdr:col>
          <xdr:colOff>342900</xdr:colOff>
          <xdr:row>17</xdr:row>
          <xdr:rowOff>160020</xdr:rowOff>
        </xdr:to>
        <xdr:pic>
          <xdr:nvPicPr>
            <xdr:cNvPr id="3" name="図 2">
              <a:extLst>
                <a:ext uri="{FF2B5EF4-FFF2-40B4-BE49-F238E27FC236}">
                  <a16:creationId xmlns:a16="http://schemas.microsoft.com/office/drawing/2014/main" id="{2F293AAF-86A0-41C3-9ADA-17C2710E28C4}"/>
                </a:ext>
              </a:extLst>
            </xdr:cNvPr>
            <xdr:cNvPicPr>
              <a:picLocks noChangeAspect="1" noChangeArrowheads="1"/>
              <a:extLst>
                <a:ext uri="{84589F7E-364E-4C9E-8A38-B11213B215E9}">
                  <a14:cameraTool cellRange="設定!$B$14:$C$16" spid="_x0000_s1035"/>
                </a:ext>
              </a:extLst>
            </xdr:cNvPicPr>
          </xdr:nvPicPr>
          <xdr:blipFill>
            <a:blip xmlns:r="http://schemas.openxmlformats.org/officeDocument/2006/relationships" r:embed="rId1"/>
            <a:srcRect/>
            <a:stretch>
              <a:fillRect/>
            </a:stretch>
          </xdr:blipFill>
          <xdr:spPr bwMode="auto">
            <a:xfrm>
              <a:off x="510540" y="4655820"/>
              <a:ext cx="2156460" cy="693420"/>
            </a:xfrm>
            <a:prstGeom prst="rect">
              <a:avLst/>
            </a:prstGeom>
            <a:solidFill>
              <a:schemeClr val="bg1"/>
            </a:solidFill>
          </xdr:spPr>
        </xdr:pic>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1151D-858E-43B1-88DC-CD4BF8D439D7}">
  <sheetPr codeName="Sheet1"/>
  <dimension ref="A1:N14"/>
  <sheetViews>
    <sheetView tabSelected="1" workbookViewId="0">
      <selection activeCell="B1" sqref="B1"/>
    </sheetView>
  </sheetViews>
  <sheetFormatPr defaultColWidth="9" defaultRowHeight="18" x14ac:dyDescent="0.45"/>
  <cols>
    <col min="1" max="1" width="6.19921875" style="3" customWidth="1"/>
    <col min="2" max="2" width="19.69921875" style="3" customWidth="1"/>
    <col min="3" max="13" width="4.59765625" style="6" customWidth="1"/>
    <col min="14" max="14" width="6.19921875" style="3" customWidth="1"/>
    <col min="15" max="16384" width="9" style="3"/>
  </cols>
  <sheetData>
    <row r="1" spans="1:14" x14ac:dyDescent="0.45">
      <c r="A1" s="7"/>
      <c r="B1" s="7" t="s">
        <v>27</v>
      </c>
      <c r="C1" s="9">
        <v>1</v>
      </c>
      <c r="D1" s="9">
        <v>2</v>
      </c>
      <c r="E1" s="9">
        <v>3</v>
      </c>
      <c r="F1" s="9">
        <v>4</v>
      </c>
      <c r="G1" s="9">
        <v>5</v>
      </c>
      <c r="H1" s="9">
        <v>6</v>
      </c>
      <c r="I1" s="9">
        <v>7</v>
      </c>
      <c r="J1" s="9">
        <v>8</v>
      </c>
      <c r="K1" s="9">
        <v>9</v>
      </c>
      <c r="L1" s="9">
        <v>10</v>
      </c>
      <c r="M1" s="9"/>
      <c r="N1" s="2" t="s">
        <v>1</v>
      </c>
    </row>
    <row r="2" spans="1:14" ht="120.75" customHeight="1" x14ac:dyDescent="0.45">
      <c r="A2" s="8" t="s">
        <v>0</v>
      </c>
      <c r="B2" s="8" t="s">
        <v>2</v>
      </c>
      <c r="C2" s="10" t="s">
        <v>3</v>
      </c>
      <c r="D2" s="10" t="s">
        <v>3</v>
      </c>
      <c r="E2" s="10" t="s">
        <v>3</v>
      </c>
      <c r="F2" s="10" t="s">
        <v>3</v>
      </c>
      <c r="G2" s="10" t="s">
        <v>3</v>
      </c>
      <c r="H2" s="10" t="s">
        <v>3</v>
      </c>
      <c r="I2" s="10" t="s">
        <v>3</v>
      </c>
      <c r="J2" s="10" t="s">
        <v>3</v>
      </c>
      <c r="K2" s="10" t="s">
        <v>3</v>
      </c>
      <c r="L2" s="10" t="s">
        <v>3</v>
      </c>
      <c r="M2" s="10" t="s">
        <v>30</v>
      </c>
      <c r="N2" s="13" t="s">
        <v>1</v>
      </c>
    </row>
    <row r="3" spans="1:14" x14ac:dyDescent="0.45">
      <c r="A3" s="11">
        <v>1</v>
      </c>
      <c r="B3" s="12" t="s">
        <v>4</v>
      </c>
      <c r="C3" s="4" t="s">
        <v>21</v>
      </c>
      <c r="D3" s="4"/>
      <c r="E3" s="4"/>
      <c r="F3" s="4"/>
      <c r="G3" s="4"/>
      <c r="H3" s="4"/>
      <c r="I3" s="4"/>
      <c r="J3" s="4"/>
      <c r="K3" s="4"/>
      <c r="L3" s="4"/>
      <c r="M3" s="4">
        <f xml:space="preserve"> + COUNTIF(C3:L3,"○")</f>
        <v>1</v>
      </c>
      <c r="N3" s="2" t="s">
        <v>1</v>
      </c>
    </row>
    <row r="4" spans="1:14" x14ac:dyDescent="0.45">
      <c r="A4" s="11">
        <v>2</v>
      </c>
      <c r="B4" s="12" t="s">
        <v>5</v>
      </c>
      <c r="C4" s="4"/>
      <c r="D4" s="4" t="s">
        <v>28</v>
      </c>
      <c r="E4" s="4"/>
      <c r="F4" s="4"/>
      <c r="G4" s="4"/>
      <c r="H4" s="4"/>
      <c r="I4" s="4"/>
      <c r="J4" s="4"/>
      <c r="K4" s="4"/>
      <c r="L4" s="4"/>
      <c r="M4" s="4">
        <f xml:space="preserve"> + COUNTIF(C4:L4,"○")</f>
        <v>1</v>
      </c>
      <c r="N4" s="2" t="s">
        <v>1</v>
      </c>
    </row>
    <row r="5" spans="1:14" x14ac:dyDescent="0.45">
      <c r="A5" s="11">
        <v>3</v>
      </c>
      <c r="B5" s="12" t="s">
        <v>6</v>
      </c>
      <c r="C5" s="4" t="s">
        <v>21</v>
      </c>
      <c r="D5" s="4"/>
      <c r="E5" s="4" t="s">
        <v>23</v>
      </c>
      <c r="F5" s="4" t="s">
        <v>21</v>
      </c>
      <c r="G5" s="4" t="s">
        <v>23</v>
      </c>
      <c r="H5" s="4"/>
      <c r="I5" s="4"/>
      <c r="J5" s="4"/>
      <c r="K5" s="4"/>
      <c r="L5" s="4"/>
      <c r="M5" s="4">
        <f xml:space="preserve"> + COUNTIF(C5:L5,"○")</f>
        <v>2</v>
      </c>
      <c r="N5" s="2" t="s">
        <v>1</v>
      </c>
    </row>
    <row r="6" spans="1:14" x14ac:dyDescent="0.45">
      <c r="A6" s="11">
        <v>4</v>
      </c>
      <c r="B6" s="12" t="s">
        <v>7</v>
      </c>
      <c r="C6" s="4"/>
      <c r="D6" s="4"/>
      <c r="E6" s="4"/>
      <c r="F6" s="4" t="s">
        <v>25</v>
      </c>
      <c r="G6" s="4"/>
      <c r="H6" s="4"/>
      <c r="I6" s="4"/>
      <c r="J6" s="4" t="s">
        <v>21</v>
      </c>
      <c r="K6" s="4"/>
      <c r="L6" s="4"/>
      <c r="M6" s="4">
        <f xml:space="preserve"> + COUNTIF(C6:L6,"○")</f>
        <v>1</v>
      </c>
      <c r="N6" s="2" t="s">
        <v>1</v>
      </c>
    </row>
    <row r="7" spans="1:14" x14ac:dyDescent="0.45">
      <c r="A7" s="11">
        <v>5</v>
      </c>
      <c r="B7" s="12" t="s">
        <v>8</v>
      </c>
      <c r="C7" s="4"/>
      <c r="D7" s="4"/>
      <c r="E7" s="4"/>
      <c r="F7" s="4"/>
      <c r="G7" s="4"/>
      <c r="H7" s="4" t="s">
        <v>21</v>
      </c>
      <c r="I7" s="4"/>
      <c r="J7" s="4"/>
      <c r="K7" s="4"/>
      <c r="L7" s="4"/>
      <c r="M7" s="4">
        <f xml:space="preserve"> + COUNTIF(C7:L7,"○")</f>
        <v>1</v>
      </c>
      <c r="N7" s="2" t="s">
        <v>1</v>
      </c>
    </row>
    <row r="8" spans="1:14" x14ac:dyDescent="0.45">
      <c r="A8" s="11">
        <v>6</v>
      </c>
      <c r="B8" s="12" t="s">
        <v>9</v>
      </c>
      <c r="C8" s="4"/>
      <c r="D8" s="4" t="s">
        <v>21</v>
      </c>
      <c r="E8" s="4" t="s">
        <v>21</v>
      </c>
      <c r="F8" s="4"/>
      <c r="G8" s="4" t="s">
        <v>21</v>
      </c>
      <c r="H8" s="4" t="s">
        <v>43</v>
      </c>
      <c r="I8" s="4" t="s">
        <v>25</v>
      </c>
      <c r="J8" s="4"/>
      <c r="K8" s="4" t="s">
        <v>21</v>
      </c>
      <c r="L8" s="4"/>
      <c r="M8" s="4">
        <f xml:space="preserve"> + COUNTIF(C8:L8,"○")</f>
        <v>4</v>
      </c>
      <c r="N8" s="2" t="s">
        <v>1</v>
      </c>
    </row>
    <row r="9" spans="1:14" x14ac:dyDescent="0.45">
      <c r="A9" s="11">
        <v>7</v>
      </c>
      <c r="B9" s="12" t="s">
        <v>10</v>
      </c>
      <c r="C9" s="4"/>
      <c r="D9" s="4" t="s">
        <v>21</v>
      </c>
      <c r="E9" s="4" t="s">
        <v>21</v>
      </c>
      <c r="F9" s="4" t="s">
        <v>21</v>
      </c>
      <c r="G9" s="4" t="s">
        <v>21</v>
      </c>
      <c r="H9" s="4"/>
      <c r="I9" s="4" t="s">
        <v>23</v>
      </c>
      <c r="J9" s="4"/>
      <c r="K9" s="4"/>
      <c r="L9" s="4"/>
      <c r="M9" s="4">
        <f xml:space="preserve"> + COUNTIF(C9:L9,"○")</f>
        <v>4</v>
      </c>
      <c r="N9" s="2" t="s">
        <v>1</v>
      </c>
    </row>
    <row r="10" spans="1:14" x14ac:dyDescent="0.45">
      <c r="A10" s="11">
        <v>8</v>
      </c>
      <c r="B10" s="12" t="s">
        <v>11</v>
      </c>
      <c r="C10" s="4"/>
      <c r="D10" s="4"/>
      <c r="E10" s="4"/>
      <c r="F10" s="4"/>
      <c r="G10" s="4"/>
      <c r="H10" s="4"/>
      <c r="I10" s="4" t="s">
        <v>21</v>
      </c>
      <c r="J10" s="4"/>
      <c r="K10" s="4"/>
      <c r="L10" s="4"/>
      <c r="M10" s="4">
        <f xml:space="preserve"> + COUNTIF(C10:L10,"○")</f>
        <v>1</v>
      </c>
      <c r="N10" s="2" t="s">
        <v>1</v>
      </c>
    </row>
    <row r="11" spans="1:14" x14ac:dyDescent="0.45">
      <c r="A11" s="11">
        <v>9</v>
      </c>
      <c r="B11" s="12" t="s">
        <v>12</v>
      </c>
      <c r="C11" s="4"/>
      <c r="D11" s="4"/>
      <c r="E11" s="4" t="s">
        <v>21</v>
      </c>
      <c r="F11" s="4"/>
      <c r="G11" s="4"/>
      <c r="H11" s="4"/>
      <c r="I11" s="4" t="s">
        <v>23</v>
      </c>
      <c r="J11" s="4" t="s">
        <v>21</v>
      </c>
      <c r="K11" s="4"/>
      <c r="L11" s="4"/>
      <c r="M11" s="4">
        <f xml:space="preserve"> + COUNTIF(C11:L11,"○")</f>
        <v>2</v>
      </c>
      <c r="N11" s="2" t="s">
        <v>1</v>
      </c>
    </row>
    <row r="12" spans="1:14" x14ac:dyDescent="0.45">
      <c r="A12" s="15">
        <v>10</v>
      </c>
      <c r="B12" s="16" t="s">
        <v>13</v>
      </c>
      <c r="C12" s="17"/>
      <c r="D12" s="4" t="s">
        <v>21</v>
      </c>
      <c r="E12" s="17"/>
      <c r="F12" s="17" t="s">
        <v>43</v>
      </c>
      <c r="G12" s="17" t="s">
        <v>43</v>
      </c>
      <c r="H12" s="17"/>
      <c r="I12" s="17"/>
      <c r="J12" s="17"/>
      <c r="K12" s="17"/>
      <c r="L12" s="17"/>
      <c r="M12" s="4">
        <f xml:space="preserve"> + COUNTIF(C12:L12,"○")</f>
        <v>1</v>
      </c>
      <c r="N12" s="2" t="s">
        <v>1</v>
      </c>
    </row>
    <row r="13" spans="1:14" x14ac:dyDescent="0.45">
      <c r="A13" s="11"/>
      <c r="B13" s="12" t="s">
        <v>30</v>
      </c>
      <c r="C13" s="4">
        <f xml:space="preserve"> + COUNTIF(C3:C12,"○")</f>
        <v>2</v>
      </c>
      <c r="D13" s="4">
        <f xml:space="preserve"> + COUNTIF(D3:D12,"○")</f>
        <v>4</v>
      </c>
      <c r="E13" s="4">
        <f xml:space="preserve"> + COUNTIF(E3:E12,"○")</f>
        <v>3</v>
      </c>
      <c r="F13" s="4">
        <f xml:space="preserve"> + COUNTIF(F3:F12,"○")</f>
        <v>2</v>
      </c>
      <c r="G13" s="4">
        <f xml:space="preserve"> + COUNTIF(G3:G12,"○")</f>
        <v>2</v>
      </c>
      <c r="H13" s="4">
        <f xml:space="preserve"> + COUNTIF(H3:H12,"○")</f>
        <v>1</v>
      </c>
      <c r="I13" s="4">
        <f xml:space="preserve"> + COUNTIF(I3:I12,"○")</f>
        <v>1</v>
      </c>
      <c r="J13" s="4">
        <f xml:space="preserve"> + COUNTIF(J3:J12,"○")</f>
        <v>2</v>
      </c>
      <c r="K13" s="4">
        <f xml:space="preserve"> + COUNTIF(K3:K12,"○")</f>
        <v>1</v>
      </c>
      <c r="L13" s="4">
        <f xml:space="preserve"> + COUNTIF(L3:L12,"○")</f>
        <v>0</v>
      </c>
      <c r="M13" s="4">
        <f>SUM(M3:M12)</f>
        <v>18</v>
      </c>
      <c r="N13" s="2" t="s">
        <v>29</v>
      </c>
    </row>
    <row r="14" spans="1:14" x14ac:dyDescent="0.45">
      <c r="A14" s="1" t="s">
        <v>1</v>
      </c>
      <c r="B14" s="14" t="s">
        <v>1</v>
      </c>
      <c r="C14" s="1" t="s">
        <v>1</v>
      </c>
      <c r="D14" s="1" t="s">
        <v>1</v>
      </c>
      <c r="E14" s="1" t="s">
        <v>1</v>
      </c>
      <c r="F14" s="1" t="s">
        <v>1</v>
      </c>
      <c r="G14" s="1" t="s">
        <v>1</v>
      </c>
      <c r="H14" s="1" t="s">
        <v>1</v>
      </c>
      <c r="I14" s="1" t="s">
        <v>1</v>
      </c>
      <c r="J14" s="1" t="s">
        <v>1</v>
      </c>
      <c r="K14" s="1" t="s">
        <v>1</v>
      </c>
      <c r="L14" s="1" t="s">
        <v>1</v>
      </c>
      <c r="M14" s="1" t="s">
        <v>29</v>
      </c>
      <c r="N14" s="5"/>
    </row>
  </sheetData>
  <autoFilter ref="A2:L18" xr:uid="{7A1C266D-2217-45E1-A8EB-B4EC7A9D308E}"/>
  <dataConsolidate/>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B82F79E-5B36-4BA5-A058-CFBA0574EDFE}">
          <x14:formula1>
            <xm:f>設定!$B$13:$B$22</xm:f>
          </x14:formula1>
          <xm:sqref>C3:L12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00570-3143-4553-8A64-A61ECFFF691E}">
  <sheetPr codeName="Sheet2"/>
  <dimension ref="A2:R22"/>
  <sheetViews>
    <sheetView workbookViewId="0">
      <selection activeCell="Q9" sqref="G3:Q9"/>
    </sheetView>
  </sheetViews>
  <sheetFormatPr defaultRowHeight="18" x14ac:dyDescent="0.45"/>
  <cols>
    <col min="2" max="2" width="14.59765625" customWidth="1"/>
    <col min="3" max="3" width="13.59765625" customWidth="1"/>
    <col min="5" max="5" width="13.59765625" customWidth="1"/>
    <col min="6" max="6" width="20.19921875" bestFit="1" customWidth="1"/>
    <col min="8" max="17" width="4.59765625" customWidth="1"/>
  </cols>
  <sheetData>
    <row r="2" spans="1:18" x14ac:dyDescent="0.45">
      <c r="A2" s="80"/>
      <c r="B2" s="80"/>
      <c r="C2" s="80" t="s">
        <v>14</v>
      </c>
      <c r="D2" s="80"/>
      <c r="E2" s="80"/>
      <c r="F2" s="80"/>
      <c r="G2" t="s">
        <v>42</v>
      </c>
    </row>
    <row r="3" spans="1:18" x14ac:dyDescent="0.45">
      <c r="A3" s="80"/>
      <c r="B3" s="81" t="s">
        <v>15</v>
      </c>
      <c r="C3" s="57">
        <v>34</v>
      </c>
      <c r="D3" s="80"/>
      <c r="E3" s="80"/>
      <c r="F3" s="80"/>
      <c r="H3">
        <v>0</v>
      </c>
      <c r="I3">
        <v>1</v>
      </c>
      <c r="J3">
        <v>2</v>
      </c>
      <c r="K3">
        <v>3</v>
      </c>
      <c r="L3">
        <v>4</v>
      </c>
      <c r="M3">
        <v>5</v>
      </c>
      <c r="N3">
        <v>6</v>
      </c>
      <c r="O3">
        <v>7</v>
      </c>
      <c r="P3">
        <v>8</v>
      </c>
      <c r="Q3">
        <v>9</v>
      </c>
    </row>
    <row r="4" spans="1:18" x14ac:dyDescent="0.45">
      <c r="A4" s="80"/>
      <c r="B4" s="81" t="s">
        <v>16</v>
      </c>
      <c r="C4" s="60">
        <v>37</v>
      </c>
      <c r="D4" s="80"/>
      <c r="E4" s="80"/>
      <c r="F4" s="80"/>
      <c r="G4">
        <v>0</v>
      </c>
      <c r="H4" s="23">
        <f>$G4+H$3</f>
        <v>0</v>
      </c>
      <c r="I4" s="24">
        <f t="shared" ref="I4:Q4" si="0">$G4+I$3</f>
        <v>1</v>
      </c>
      <c r="J4" s="25">
        <f t="shared" si="0"/>
        <v>2</v>
      </c>
      <c r="K4" s="26">
        <f t="shared" si="0"/>
        <v>3</v>
      </c>
      <c r="L4" s="27">
        <f t="shared" si="0"/>
        <v>4</v>
      </c>
      <c r="M4" s="28">
        <f t="shared" si="0"/>
        <v>5</v>
      </c>
      <c r="N4" s="29">
        <f t="shared" si="0"/>
        <v>6</v>
      </c>
      <c r="O4" s="30">
        <f t="shared" si="0"/>
        <v>7</v>
      </c>
      <c r="P4" s="31">
        <f t="shared" si="0"/>
        <v>8</v>
      </c>
      <c r="Q4" s="32">
        <f t="shared" si="0"/>
        <v>9</v>
      </c>
      <c r="R4" s="3"/>
    </row>
    <row r="5" spans="1:18" x14ac:dyDescent="0.45">
      <c r="A5" s="80"/>
      <c r="B5" s="81" t="s">
        <v>17</v>
      </c>
      <c r="C5" s="60">
        <v>37</v>
      </c>
      <c r="D5" s="80"/>
      <c r="E5" s="80"/>
      <c r="F5" s="80"/>
      <c r="G5">
        <v>10</v>
      </c>
      <c r="H5" s="33">
        <f t="shared" ref="H5:Q9" si="1">$G5+H$3</f>
        <v>10</v>
      </c>
      <c r="I5" s="34">
        <f t="shared" si="1"/>
        <v>11</v>
      </c>
      <c r="J5" s="35">
        <f t="shared" si="1"/>
        <v>12</v>
      </c>
      <c r="K5" s="36">
        <f t="shared" si="1"/>
        <v>13</v>
      </c>
      <c r="L5" s="37">
        <f t="shared" si="1"/>
        <v>14</v>
      </c>
      <c r="M5" s="38">
        <f t="shared" si="1"/>
        <v>15</v>
      </c>
      <c r="N5" s="39">
        <f t="shared" si="1"/>
        <v>16</v>
      </c>
      <c r="O5" s="40">
        <f t="shared" si="1"/>
        <v>17</v>
      </c>
      <c r="P5" s="41">
        <f t="shared" si="1"/>
        <v>18</v>
      </c>
      <c r="Q5" s="42">
        <f t="shared" si="1"/>
        <v>19</v>
      </c>
      <c r="R5" s="3"/>
    </row>
    <row r="6" spans="1:18" x14ac:dyDescent="0.45">
      <c r="A6" s="80"/>
      <c r="B6" s="81"/>
      <c r="C6" s="81"/>
      <c r="D6" s="80"/>
      <c r="E6" s="80"/>
      <c r="F6" s="80"/>
      <c r="G6">
        <v>20</v>
      </c>
      <c r="H6" s="43">
        <f t="shared" si="1"/>
        <v>20</v>
      </c>
      <c r="I6" s="44">
        <f t="shared" si="1"/>
        <v>21</v>
      </c>
      <c r="J6" s="45">
        <f t="shared" si="1"/>
        <v>22</v>
      </c>
      <c r="K6" s="46">
        <f t="shared" si="1"/>
        <v>23</v>
      </c>
      <c r="L6" s="47">
        <f t="shared" si="1"/>
        <v>24</v>
      </c>
      <c r="M6" s="48">
        <f t="shared" si="1"/>
        <v>25</v>
      </c>
      <c r="N6" s="49">
        <f t="shared" si="1"/>
        <v>26</v>
      </c>
      <c r="O6" s="50">
        <f t="shared" si="1"/>
        <v>27</v>
      </c>
      <c r="P6" s="51">
        <f t="shared" si="1"/>
        <v>28</v>
      </c>
      <c r="Q6" s="52">
        <f t="shared" si="1"/>
        <v>29</v>
      </c>
      <c r="R6" s="3"/>
    </row>
    <row r="7" spans="1:18" x14ac:dyDescent="0.45">
      <c r="A7" s="80"/>
      <c r="B7" s="81" t="s">
        <v>18</v>
      </c>
      <c r="C7" s="29">
        <v>6</v>
      </c>
      <c r="D7" s="80"/>
      <c r="E7" s="80"/>
      <c r="F7" s="80"/>
      <c r="G7">
        <v>30</v>
      </c>
      <c r="H7" s="53">
        <f t="shared" si="1"/>
        <v>30</v>
      </c>
      <c r="I7" s="54">
        <f t="shared" si="1"/>
        <v>31</v>
      </c>
      <c r="J7" s="55">
        <f t="shared" si="1"/>
        <v>32</v>
      </c>
      <c r="K7" s="56">
        <f t="shared" si="1"/>
        <v>33</v>
      </c>
      <c r="L7" s="57">
        <f t="shared" si="1"/>
        <v>34</v>
      </c>
      <c r="M7" s="58">
        <f t="shared" si="1"/>
        <v>35</v>
      </c>
      <c r="N7" s="59">
        <f t="shared" si="1"/>
        <v>36</v>
      </c>
      <c r="O7" s="60">
        <f t="shared" si="1"/>
        <v>37</v>
      </c>
      <c r="P7" s="61">
        <f t="shared" si="1"/>
        <v>38</v>
      </c>
      <c r="Q7" s="62">
        <f t="shared" si="1"/>
        <v>39</v>
      </c>
      <c r="R7" s="3"/>
    </row>
    <row r="8" spans="1:18" x14ac:dyDescent="0.45">
      <c r="A8" s="80"/>
      <c r="B8" s="81" t="s">
        <v>19</v>
      </c>
      <c r="C8" s="59">
        <v>36</v>
      </c>
      <c r="D8" s="80"/>
      <c r="E8" s="80"/>
      <c r="F8" s="80"/>
      <c r="G8">
        <v>40</v>
      </c>
      <c r="H8" s="63">
        <f t="shared" si="1"/>
        <v>40</v>
      </c>
      <c r="I8" s="64">
        <f t="shared" si="1"/>
        <v>41</v>
      </c>
      <c r="J8" s="65">
        <f t="shared" si="1"/>
        <v>42</v>
      </c>
      <c r="K8" s="66">
        <f t="shared" si="1"/>
        <v>43</v>
      </c>
      <c r="L8" s="67">
        <f t="shared" si="1"/>
        <v>44</v>
      </c>
      <c r="M8" s="68">
        <f t="shared" si="1"/>
        <v>45</v>
      </c>
      <c r="N8" s="69">
        <f t="shared" si="1"/>
        <v>46</v>
      </c>
      <c r="O8" s="70">
        <f t="shared" si="1"/>
        <v>47</v>
      </c>
      <c r="P8" s="71">
        <f t="shared" si="1"/>
        <v>48</v>
      </c>
      <c r="Q8" s="72">
        <f t="shared" si="1"/>
        <v>49</v>
      </c>
      <c r="R8" s="3"/>
    </row>
    <row r="9" spans="1:18" x14ac:dyDescent="0.45">
      <c r="A9" s="80"/>
      <c r="B9" s="81" t="s">
        <v>20</v>
      </c>
      <c r="C9" s="59">
        <v>36</v>
      </c>
      <c r="D9" s="80"/>
      <c r="E9" s="80"/>
      <c r="F9" s="80"/>
      <c r="G9">
        <v>50</v>
      </c>
      <c r="H9" s="73">
        <f t="shared" si="1"/>
        <v>50</v>
      </c>
      <c r="I9" s="74">
        <f t="shared" si="1"/>
        <v>51</v>
      </c>
      <c r="J9" s="75">
        <f t="shared" si="1"/>
        <v>52</v>
      </c>
      <c r="K9" s="76">
        <f t="shared" si="1"/>
        <v>53</v>
      </c>
      <c r="L9" s="77">
        <f t="shared" si="1"/>
        <v>54</v>
      </c>
      <c r="M9" s="78">
        <f t="shared" si="1"/>
        <v>55</v>
      </c>
      <c r="N9" s="79">
        <f t="shared" si="1"/>
        <v>56</v>
      </c>
      <c r="O9" s="23"/>
      <c r="P9" s="23"/>
      <c r="Q9" s="23"/>
      <c r="R9" s="3"/>
    </row>
    <row r="10" spans="1:18" x14ac:dyDescent="0.45">
      <c r="A10" s="80"/>
      <c r="B10" s="80"/>
      <c r="C10" s="80"/>
      <c r="D10" s="80"/>
      <c r="E10" s="80"/>
      <c r="F10" s="80"/>
    </row>
    <row r="11" spans="1:18" x14ac:dyDescent="0.45">
      <c r="A11" s="80"/>
      <c r="B11" s="80"/>
      <c r="C11" s="80"/>
      <c r="D11" s="80"/>
      <c r="E11" s="80"/>
      <c r="F11" s="80"/>
    </row>
    <row r="12" spans="1:18" x14ac:dyDescent="0.45">
      <c r="A12" s="80"/>
      <c r="B12" s="80" t="s">
        <v>39</v>
      </c>
      <c r="C12" s="80"/>
      <c r="D12" s="80"/>
      <c r="E12" s="80" t="s">
        <v>40</v>
      </c>
      <c r="F12" s="80" t="s">
        <v>41</v>
      </c>
    </row>
    <row r="13" spans="1:18" x14ac:dyDescent="0.45">
      <c r="A13" s="80"/>
      <c r="B13" s="82"/>
      <c r="C13" s="80"/>
      <c r="D13" s="80"/>
      <c r="E13" s="82" t="str">
        <f>B14</f>
        <v>○</v>
      </c>
      <c r="F13" s="82" t="str">
        <f>B14</f>
        <v>○</v>
      </c>
    </row>
    <row r="14" spans="1:18" x14ac:dyDescent="0.45">
      <c r="A14" s="80"/>
      <c r="B14" s="82" t="s">
        <v>22</v>
      </c>
      <c r="C14" s="80" t="s">
        <v>31</v>
      </c>
      <c r="D14" s="80"/>
      <c r="E14" s="82"/>
      <c r="F14" s="82" t="str">
        <f>B15</f>
        <v>■</v>
      </c>
    </row>
    <row r="15" spans="1:18" x14ac:dyDescent="0.45">
      <c r="A15" s="80"/>
      <c r="B15" s="82" t="s">
        <v>24</v>
      </c>
      <c r="C15" s="80" t="s">
        <v>32</v>
      </c>
      <c r="D15" s="80"/>
      <c r="E15" s="82"/>
      <c r="F15" s="82" t="s">
        <v>50</v>
      </c>
    </row>
    <row r="16" spans="1:18" x14ac:dyDescent="0.45">
      <c r="A16" s="80"/>
      <c r="B16" s="82" t="s">
        <v>26</v>
      </c>
      <c r="C16" s="80" t="s">
        <v>33</v>
      </c>
      <c r="D16" s="80"/>
      <c r="E16" s="82"/>
      <c r="F16" s="82"/>
    </row>
    <row r="17" spans="1:6" x14ac:dyDescent="0.45">
      <c r="A17" s="80"/>
      <c r="B17" s="82" t="s">
        <v>50</v>
      </c>
      <c r="C17" s="80"/>
      <c r="D17" s="80"/>
      <c r="E17" s="82"/>
      <c r="F17" s="82"/>
    </row>
    <row r="18" spans="1:6" x14ac:dyDescent="0.45">
      <c r="A18" s="80"/>
      <c r="B18" s="82"/>
      <c r="C18" s="80"/>
      <c r="D18" s="80"/>
      <c r="E18" s="82"/>
      <c r="F18" s="82"/>
    </row>
    <row r="19" spans="1:6" x14ac:dyDescent="0.45">
      <c r="A19" s="80"/>
      <c r="B19" s="82"/>
      <c r="C19" s="80"/>
      <c r="D19" s="80"/>
      <c r="E19" s="82"/>
      <c r="F19" s="82"/>
    </row>
    <row r="20" spans="1:6" x14ac:dyDescent="0.45">
      <c r="A20" s="80"/>
      <c r="B20" s="82"/>
      <c r="C20" s="80"/>
      <c r="D20" s="80"/>
      <c r="E20" s="82"/>
      <c r="F20" s="82"/>
    </row>
    <row r="21" spans="1:6" x14ac:dyDescent="0.45">
      <c r="A21" s="80"/>
      <c r="B21" s="82"/>
      <c r="C21" s="80"/>
      <c r="D21" s="80"/>
      <c r="E21" s="82"/>
      <c r="F21" s="82"/>
    </row>
    <row r="22" spans="1:6" x14ac:dyDescent="0.45">
      <c r="A22" s="80"/>
      <c r="B22" s="82"/>
      <c r="C22" s="80"/>
      <c r="D22" s="80"/>
      <c r="E22" s="82"/>
      <c r="F22" s="82"/>
    </row>
  </sheetData>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CDA4C-97BC-4BE1-A23F-0D1E87B8283E}">
  <sheetPr codeName="Sheet3"/>
  <dimension ref="B2:N17"/>
  <sheetViews>
    <sheetView workbookViewId="0"/>
  </sheetViews>
  <sheetFormatPr defaultRowHeight="18" x14ac:dyDescent="0.45"/>
  <cols>
    <col min="2" max="2" width="11" style="18" customWidth="1"/>
  </cols>
  <sheetData>
    <row r="2" spans="2:14" x14ac:dyDescent="0.45">
      <c r="B2" s="18" t="s">
        <v>48</v>
      </c>
      <c r="C2" s="18"/>
      <c r="D2" s="20"/>
      <c r="E2" s="20"/>
    </row>
    <row r="3" spans="2:14" ht="283.2" customHeight="1" x14ac:dyDescent="0.45">
      <c r="C3" s="83" t="s">
        <v>49</v>
      </c>
      <c r="D3" s="84"/>
      <c r="E3" s="84"/>
      <c r="F3" s="84"/>
      <c r="G3" s="84"/>
      <c r="H3" s="84"/>
      <c r="I3" s="84"/>
      <c r="J3" s="84"/>
      <c r="K3" s="84"/>
      <c r="L3" s="84"/>
      <c r="M3" s="85"/>
      <c r="N3" s="22"/>
    </row>
    <row r="4" spans="2:14" x14ac:dyDescent="0.45">
      <c r="C4" s="21"/>
      <c r="D4" s="21"/>
      <c r="E4" s="21"/>
    </row>
    <row r="5" spans="2:14" x14ac:dyDescent="0.45">
      <c r="B5" s="18" t="s">
        <v>36</v>
      </c>
      <c r="C5" t="s">
        <v>37</v>
      </c>
    </row>
    <row r="7" spans="2:14" x14ac:dyDescent="0.45">
      <c r="B7" s="18" t="s">
        <v>35</v>
      </c>
    </row>
    <row r="8" spans="2:14" x14ac:dyDescent="0.45">
      <c r="B8" s="19">
        <v>44020</v>
      </c>
      <c r="C8" t="s">
        <v>46</v>
      </c>
    </row>
    <row r="9" spans="2:14" x14ac:dyDescent="0.45">
      <c r="B9" s="19"/>
      <c r="C9" t="s">
        <v>44</v>
      </c>
    </row>
    <row r="10" spans="2:14" x14ac:dyDescent="0.45">
      <c r="C10" t="s">
        <v>52</v>
      </c>
    </row>
    <row r="11" spans="2:14" x14ac:dyDescent="0.45">
      <c r="B11" s="19"/>
      <c r="C11" t="s">
        <v>51</v>
      </c>
    </row>
    <row r="12" spans="2:14" x14ac:dyDescent="0.45">
      <c r="B12" s="19"/>
    </row>
    <row r="13" spans="2:14" x14ac:dyDescent="0.45">
      <c r="B13" s="19">
        <v>43077</v>
      </c>
      <c r="C13" t="s">
        <v>45</v>
      </c>
    </row>
    <row r="14" spans="2:14" x14ac:dyDescent="0.45">
      <c r="C14" t="s">
        <v>34</v>
      </c>
    </row>
    <row r="16" spans="2:14" x14ac:dyDescent="0.45">
      <c r="B16" s="18" t="s">
        <v>38</v>
      </c>
    </row>
    <row r="17" spans="2:2" x14ac:dyDescent="0.45">
      <c r="B17" s="18" t="s">
        <v>47</v>
      </c>
    </row>
  </sheetData>
  <sheetProtection algorithmName="SHA-512" hashValue="0UrA1Jd+8S8wHEwty5ym6lsxPwmCk6R4ZbcwLABX1rW4CrMcZgyB8sryc5diI1Bpa1sbajW9mBwzQpIar91rYg==" saltValue="7OJiMsbAKEJ6dWolSndbjw==" spinCount="100000" sheet="1" objects="1" scenarios="1"/>
  <mergeCells count="1">
    <mergeCell ref="C3:M3"/>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メトリックス</vt:lpstr>
      <vt:lpstr>設定</vt:lpstr>
      <vt:lpstr>変更履歴、他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木下 英俊</dc:creator>
  <cp:lastModifiedBy>木下 英俊</cp:lastModifiedBy>
  <dcterms:created xsi:type="dcterms:W3CDTF">2017-12-08T10:14:29Z</dcterms:created>
  <dcterms:modified xsi:type="dcterms:W3CDTF">2020-07-12T07:26:08Z</dcterms:modified>
</cp:coreProperties>
</file>