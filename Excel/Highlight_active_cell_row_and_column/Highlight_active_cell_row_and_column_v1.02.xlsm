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Users\kinos\Documents\My Web Sites\@Nifty\Programing Items\Excel\Highlight_active_cell_row_and_column\"/>
    </mc:Choice>
  </mc:AlternateContent>
  <xr:revisionPtr revIDLastSave="0" documentId="13_ncr:1_{63C0EE35-1D05-450F-BED7-1686950E5FC9}" xr6:coauthVersionLast="45" xr6:coauthVersionMax="45" xr10:uidLastSave="{00000000-0000-0000-0000-000000000000}"/>
  <bookViews>
    <workbookView xWindow="-108" yWindow="-108" windowWidth="23256" windowHeight="12576" xr2:uid="{E6475E13-DDF8-497F-8B3A-ED1521DCF866}"/>
  </bookViews>
  <sheets>
    <sheet name="メトリックス" sheetId="1" r:id="rId1"/>
    <sheet name="設定" sheetId="2" r:id="rId2"/>
    <sheet name="使用方法" sheetId="4" r:id="rId3"/>
    <sheet name="ライセンス、変更履歴、他" sheetId="3" r:id="rId4"/>
  </sheets>
  <definedNames>
    <definedName name="_xlnm._FilterDatabase" localSheetId="0" hidden="1">メトリックス!$A$2:$N$14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<sst xmlns="http://schemas.openxmlformats.org/spreadsheetml/2006/main" count="145" uniqueCount="87">
  <si>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</si>
  <si>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</si>
  <si>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</si>
  <si>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</si>
  <si>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</si>
  <si>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</si>
  <si>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</si>
  <si>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</si>
  <si>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</si>
  <si>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</si>
  <si>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</si>
  <si>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</si>
  <si>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</si>
  <si>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</si>
  <si>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</si>
  <si>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</si>
  <si>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</si>
  <si>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</si>
  <si>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</si>
  <si>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</si>
  <si>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</si>
  <si>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</si>
  <si>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</si>
  <si>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</si>
  <si>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</si>
  <si>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</si>
  <si>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</si>
  <si>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</si>
  <si>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</si>
  <si>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</si>
  <si>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合計</t>
    <rPh sb="0" eb="2">
      <t>ゴウケイ</t>
    </rPh>
    <phoneticPr fontId="2"/>
  </si>
  <si>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</si>
  <si>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</si>
  <si>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</si>
  <si>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</si>
  <si>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</si>
  <si>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</si>
  <si>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</si>
  <si>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■設定可能内容</t>
    <rPh sb="1" eb="3">
      <t>セッテイ</t>
    </rPh>
    <rPh sb="3" eb="5">
      <t>カノウ</t>
    </rPh>
    <rPh sb="5" eb="7">
      <t>ナイヨウ</t>
    </rPh>
    <phoneticPr fontId="2"/>
  </si>
  <si>
    <t>■オートフィルタ対象</t>
    <rPh sb="8" eb="10">
      <t>タイショウ</t>
    </rPh>
    <phoneticPr fontId="2"/>
  </si>
  <si>
    <t>ColorIndex サンプル</t>
    <phoneticPr fontId="2"/>
  </si>
  <si>
    <t>「設定」シート中のカラーインデックスを、設定した色へ実際に変更するように変更</t>
    <rPh sb="1" eb="3">
      <t>セッテイ</t>
    </rPh>
    <rPh sb="7" eb="8">
      <t>チュウ</t>
    </rPh>
    <rPh sb="20" eb="22">
      <t>セッテイ</t>
    </rPh>
    <rPh sb="24" eb="25">
      <t>イロ</t>
    </rPh>
    <rPh sb="26" eb="28">
      <t>ジッサイ</t>
    </rPh>
    <rPh sb="29" eb="31">
      <t>ヘンコウ</t>
    </rPh>
    <rPh sb="36" eb="38">
      <t>ヘンコウ</t>
    </rPh>
    <phoneticPr fontId="2"/>
  </si>
  <si>
    <t>v1.00</t>
    <phoneticPr fontId="2"/>
  </si>
  <si>
    <t>v1.01</t>
    <phoneticPr fontId="2"/>
  </si>
  <si>
    <t>■ラインセンス</t>
    <phoneticPr fontId="5"/>
  </si>
  <si>
    <r>
      <t xml:space="preserve">Excelメトリックス
Copyright © 2017-2020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6" eb="77">
      <t>ホン</t>
    </rPh>
    <rPh sb="83" eb="86">
      <t>チョサクケン</t>
    </rPh>
    <rPh sb="86" eb="87">
      <t>シャ</t>
    </rPh>
    <rPh sb="89" eb="91">
      <t>シヨウ</t>
    </rPh>
    <rPh sb="91" eb="93">
      <t>キョカ</t>
    </rPh>
    <rPh sb="94" eb="95">
      <t>エ</t>
    </rPh>
    <rPh sb="197" eb="199">
      <t>ケンリ</t>
    </rPh>
    <rPh sb="200" eb="201">
      <t>フク</t>
    </rPh>
    <rPh sb="243" eb="246">
      <t>ダイサンシャ</t>
    </rPh>
    <rPh sb="254" eb="256">
      <t>キョカ</t>
    </rPh>
    <phoneticPr fontId="5"/>
  </si>
  <si>
    <t>オートフィルタ対象を「設定」で指定できるように変更</t>
    <rPh sb="7" eb="9">
      <t>タイショウ</t>
    </rPh>
    <rPh sb="11" eb="13">
      <t>セッテイ</t>
    </rPh>
    <rPh sb="15" eb="17">
      <t>シテイ</t>
    </rPh>
    <rPh sb="23" eb="25">
      <t>ヘンコウ</t>
    </rPh>
    <phoneticPr fontId="2"/>
  </si>
  <si>
    <t>カウント対象を「設定」で指定できるように変更</t>
    <rPh sb="4" eb="6">
      <t>タイショウ</t>
    </rPh>
    <rPh sb="8" eb="10">
      <t>セッテイ</t>
    </rPh>
    <rPh sb="12" eb="14">
      <t>シテイ</t>
    </rPh>
    <rPh sb="20" eb="22">
      <t>ヘンコウ</t>
    </rPh>
    <phoneticPr fontId="2"/>
  </si>
  <si>
    <t>不明</t>
    <rPh sb="0" eb="2">
      <t>フメイ</t>
    </rPh>
    <phoneticPr fontId="2"/>
  </si>
  <si>
    <t>？</t>
  </si>
  <si>
    <t>？</t>
    <phoneticPr fontId="2"/>
  </si>
  <si>
    <t>■Issues</t>
    <phoneticPr fontId="2"/>
  </si>
  <si>
    <t>Issues Fixed</t>
    <phoneticPr fontId="2"/>
  </si>
  <si>
    <t>No.01</t>
    <phoneticPr fontId="2"/>
  </si>
  <si>
    <t>No.04</t>
    <phoneticPr fontId="2"/>
  </si>
  <si>
    <t>No.02</t>
    <phoneticPr fontId="2"/>
  </si>
  <si>
    <t>■Issues Fixed</t>
    <phoneticPr fontId="2"/>
  </si>
  <si>
    <t>No.01: 設定シートからメトリックスシートへ移動したとき、操作できるまで多くの時間待たないといけない。</t>
    <rPh sb="7" eb="9">
      <t>セッテイ</t>
    </rPh>
    <rPh sb="24" eb="26">
      <t>イドウ</t>
    </rPh>
    <rPh sb="31" eb="33">
      <t>ソウサ</t>
    </rPh>
    <rPh sb="38" eb="39">
      <t>オオ</t>
    </rPh>
    <rPh sb="41" eb="43">
      <t>ジカン</t>
    </rPh>
    <rPh sb="43" eb="44">
      <t>マ</t>
    </rPh>
    <phoneticPr fontId="2"/>
  </si>
  <si>
    <t>No.02: メトリックスシート中の項目を変更したとき、Busy状態が長い。すぐに操作したい。</t>
    <rPh sb="16" eb="17">
      <t>チュウ</t>
    </rPh>
    <rPh sb="18" eb="20">
      <t>コウモク</t>
    </rPh>
    <rPh sb="21" eb="23">
      <t>ヘンコウ</t>
    </rPh>
    <rPh sb="32" eb="34">
      <t>ジョウタイ</t>
    </rPh>
    <rPh sb="35" eb="36">
      <t>ナガ</t>
    </rPh>
    <rPh sb="41" eb="43">
      <t>ソウサ</t>
    </rPh>
    <phoneticPr fontId="2"/>
  </si>
  <si>
    <t>No.03: ２行目欄外のところに文字を入力したら項目と同じ書式を強制的に適用される。</t>
    <rPh sb="8" eb="10">
      <t>ギョウメ</t>
    </rPh>
    <rPh sb="10" eb="12">
      <t>ランガイ</t>
    </rPh>
    <rPh sb="17" eb="19">
      <t>モジ</t>
    </rPh>
    <rPh sb="20" eb="22">
      <t>ニュウリョク</t>
    </rPh>
    <rPh sb="25" eb="27">
      <t>コウモク</t>
    </rPh>
    <rPh sb="28" eb="29">
      <t>オナ</t>
    </rPh>
    <rPh sb="30" eb="32">
      <t>ショシキ</t>
    </rPh>
    <rPh sb="33" eb="35">
      <t>キョウセイ</t>
    </rPh>
    <rPh sb="35" eb="36">
      <t>テキ</t>
    </rPh>
    <rPh sb="37" eb="39">
      <t>テキヨウ</t>
    </rPh>
    <phoneticPr fontId="2"/>
  </si>
  <si>
    <t>No.04: 水平方向のフィルタリングが「設定」に従って行われない。</t>
    <rPh sb="7" eb="9">
      <t>スイヘイ</t>
    </rPh>
    <rPh sb="9" eb="11">
      <t>ホウコウ</t>
    </rPh>
    <rPh sb="21" eb="23">
      <t>セッテイ</t>
    </rPh>
    <rPh sb="25" eb="26">
      <t>シタガ</t>
    </rPh>
    <rPh sb="28" eb="29">
      <t>オコナ</t>
    </rPh>
    <phoneticPr fontId="2"/>
  </si>
  <si>
    <t>No.05: エリア内は余分な操作をさせないためにマウス右クリックからのコンテキストメニューを封印したが、エリア外は通常のコンテキストメニューを使えるようにしたい。</t>
    <phoneticPr fontId="2"/>
  </si>
  <si>
    <t>No.03</t>
    <phoneticPr fontId="2"/>
  </si>
  <si>
    <t>使用方法</t>
    <rPh sb="0" eb="2">
      <t>シヨウ</t>
    </rPh>
    <rPh sb="2" eb="4">
      <t>ホウホウ</t>
    </rPh>
    <phoneticPr fontId="2"/>
  </si>
  <si>
    <t>■メトリックス</t>
    <phoneticPr fontId="2"/>
  </si>
  <si>
    <t>■設定</t>
    <rPh sb="1" eb="3">
      <t>セッテイ</t>
    </rPh>
    <phoneticPr fontId="2"/>
  </si>
  <si>
    <t>使用方法の工夫</t>
    <rPh sb="0" eb="2">
      <t>シヨウ</t>
    </rPh>
    <rPh sb="2" eb="4">
      <t>ホウホウ</t>
    </rPh>
    <rPh sb="5" eb="7">
      <t>クフウ</t>
    </rPh>
    <phoneticPr fontId="2"/>
  </si>
  <si>
    <t>・「合計欄が０になった行をグレーにする」なんてことは「条件付き書式指定」を使えばすぐにできます。</t>
    <rPh sb="2" eb="4">
      <t>ゴウケイ</t>
    </rPh>
    <rPh sb="4" eb="5">
      <t>ラン</t>
    </rPh>
    <rPh sb="11" eb="12">
      <t>ギョウ</t>
    </rPh>
    <rPh sb="27" eb="30">
      <t>ジョウケンツ</t>
    </rPh>
    <rPh sb="31" eb="33">
      <t>ショシキ</t>
    </rPh>
    <rPh sb="33" eb="35">
      <t>シテイ</t>
    </rPh>
    <rPh sb="37" eb="38">
      <t>ツカ</t>
    </rPh>
    <phoneticPr fontId="2"/>
  </si>
  <si>
    <t>以下の機能があります。</t>
    <rPh sb="0" eb="2">
      <t>イカ</t>
    </rPh>
    <rPh sb="3" eb="5">
      <t>キノウ</t>
    </rPh>
    <phoneticPr fontId="2"/>
  </si>
  <si>
    <t>(2) 設定可能内容 設定</t>
    <rPh sb="4" eb="6">
      <t>セッテイ</t>
    </rPh>
    <rPh sb="6" eb="8">
      <t>カノウ</t>
    </rPh>
    <rPh sb="8" eb="10">
      <t>ナイヨウ</t>
    </rPh>
    <rPh sb="11" eb="13">
      <t>セッテイ</t>
    </rPh>
    <phoneticPr fontId="2"/>
  </si>
  <si>
    <t>(1) 表示色 設定</t>
    <rPh sb="4" eb="7">
      <t>ヒョウジショク</t>
    </rPh>
    <rPh sb="8" eb="10">
      <t>セッテイ</t>
    </rPh>
    <phoneticPr fontId="2"/>
  </si>
  <si>
    <t>■合計覧カウント対象</t>
    <rPh sb="1" eb="3">
      <t>ゴウケイ</t>
    </rPh>
    <rPh sb="3" eb="4">
      <t>ラン</t>
    </rPh>
    <rPh sb="8" eb="10">
      <t>タイショウ</t>
    </rPh>
    <phoneticPr fontId="2"/>
  </si>
  <si>
    <t>(4) オートフィルタ対象 設定</t>
    <rPh sb="11" eb="13">
      <t>タイショウ</t>
    </rPh>
    <rPh sb="14" eb="16">
      <t>セッテイ</t>
    </rPh>
    <phoneticPr fontId="2"/>
  </si>
  <si>
    <t>(3) 合計覧カウント対象 設定</t>
    <rPh sb="4" eb="6">
      <t>ゴウケイ</t>
    </rPh>
    <rPh sb="6" eb="7">
      <t>ラン</t>
    </rPh>
    <rPh sb="11" eb="13">
      <t>タイショウ</t>
    </rPh>
    <rPh sb="14" eb="16">
      <t>セッテイ</t>
    </rPh>
    <phoneticPr fontId="2"/>
  </si>
  <si>
    <t>以下の設定を行うことができます。</t>
    <rPh sb="0" eb="2">
      <t>イカ</t>
    </rPh>
    <rPh sb="3" eb="5">
      <t>セッテイ</t>
    </rPh>
    <rPh sb="6" eb="7">
      <t>オコナ</t>
    </rPh>
    <phoneticPr fontId="2"/>
  </si>
  <si>
    <t>■機能概要</t>
    <rPh sb="1" eb="3">
      <t>キノウ</t>
    </rPh>
    <rPh sb="3" eb="5">
      <t>ガイヨウ</t>
    </rPh>
    <phoneticPr fontId="2"/>
  </si>
  <si>
    <t>(1) 選択中セルの行、列、色表示</t>
    <rPh sb="4" eb="7">
      <t>センタクチュウ</t>
    </rPh>
    <rPh sb="10" eb="11">
      <t>ギョウ</t>
    </rPh>
    <rPh sb="12" eb="13">
      <t>レツ</t>
    </rPh>
    <rPh sb="14" eb="17">
      <t>イロヒョウジ</t>
    </rPh>
    <phoneticPr fontId="2"/>
  </si>
  <si>
    <t>・領域２： ダブルクリックした行でフィルタ表示します。</t>
    <rPh sb="1" eb="3">
      <t>リョウイキ</t>
    </rPh>
    <rPh sb="15" eb="16">
      <t>ギョウ</t>
    </rPh>
    <rPh sb="21" eb="23">
      <t>ヒョウジ</t>
    </rPh>
    <phoneticPr fontId="2"/>
  </si>
  <si>
    <t>・領域１： ダブルクリックした列でフィルタ表示します。</t>
    <rPh sb="1" eb="3">
      <t>リョウイキ</t>
    </rPh>
    <rPh sb="15" eb="16">
      <t>レツ</t>
    </rPh>
    <rPh sb="21" eb="23">
      <t>ヒョウジ</t>
    </rPh>
    <phoneticPr fontId="2"/>
  </si>
  <si>
    <t>・領域３： フィルタ表示を解除します。</t>
    <rPh sb="1" eb="3">
      <t>リョウイキ</t>
    </rPh>
    <rPh sb="10" eb="12">
      <t>ヒョウジ</t>
    </rPh>
    <rPh sb="13" eb="15">
      <t>カイジョ</t>
    </rPh>
    <phoneticPr fontId="2"/>
  </si>
  <si>
    <t>「設定」シート中の条件でフィルタ表示します。</t>
    <rPh sb="1" eb="3">
      <t>セッテイ</t>
    </rPh>
    <rPh sb="7" eb="8">
      <t>チュウ</t>
    </rPh>
    <rPh sb="9" eb="11">
      <t>ジョウケン</t>
    </rPh>
    <rPh sb="16" eb="18">
      <t>ヒョウジ</t>
    </rPh>
    <phoneticPr fontId="2"/>
  </si>
  <si>
    <t>(2) ダブルクリックによるフィルタ表示</t>
    <rPh sb="18" eb="20">
      <t>ヒョウジ</t>
    </rPh>
    <phoneticPr fontId="2"/>
  </si>
  <si>
    <t>(3) 合計表示</t>
    <rPh sb="4" eb="6">
      <t>ゴウケイ</t>
    </rPh>
    <rPh sb="6" eb="8">
      <t>ヒョウジ</t>
    </rPh>
    <phoneticPr fontId="2"/>
  </si>
  <si>
    <t>「設定」シート中の条件を満たすセルの数を表示します。</t>
    <rPh sb="1" eb="3">
      <t>セッテイ</t>
    </rPh>
    <rPh sb="7" eb="8">
      <t>ナカ</t>
    </rPh>
    <rPh sb="9" eb="11">
      <t>ジョウケン</t>
    </rPh>
    <rPh sb="12" eb="13">
      <t>ミ</t>
    </rPh>
    <rPh sb="18" eb="19">
      <t>カズ</t>
    </rPh>
    <rPh sb="20" eb="22">
      <t>ヒョウジ</t>
    </rPh>
    <phoneticPr fontId="2"/>
  </si>
  <si>
    <t>未完了のアイテム数を表示するなどに使うことを想定しています。</t>
    <rPh sb="0" eb="3">
      <t>ミカンリョウ</t>
    </rPh>
    <rPh sb="8" eb="9">
      <t>スウ</t>
    </rPh>
    <rPh sb="10" eb="12">
      <t>ヒョウジ</t>
    </rPh>
    <rPh sb="17" eb="18">
      <t>ツカ</t>
    </rPh>
    <rPh sb="22" eb="24">
      <t>ソウテイ</t>
    </rPh>
    <phoneticPr fontId="2"/>
  </si>
  <si>
    <t xml:space="preserve">   デフォルトでこの機能を入れようかとも思いましたが、目的や用途・個人の趣味に合わせて個別に設定してもらうこととし、あえて外しました。</t>
    <rPh sb="11" eb="13">
      <t>キノウ</t>
    </rPh>
    <rPh sb="14" eb="15">
      <t>イ</t>
    </rPh>
    <rPh sb="21" eb="22">
      <t>オモ</t>
    </rPh>
    <rPh sb="28" eb="30">
      <t>モクテキ</t>
    </rPh>
    <rPh sb="31" eb="33">
      <t>ヨウト</t>
    </rPh>
    <rPh sb="34" eb="36">
      <t>コジン</t>
    </rPh>
    <rPh sb="37" eb="39">
      <t>シュミ</t>
    </rPh>
    <rPh sb="40" eb="41">
      <t>ア</t>
    </rPh>
    <rPh sb="44" eb="46">
      <t>コベツ</t>
    </rPh>
    <rPh sb="47" eb="49">
      <t>セッテイ</t>
    </rPh>
    <rPh sb="62" eb="63">
      <t>ハズ</t>
    </rPh>
    <phoneticPr fontId="2"/>
  </si>
  <si>
    <t>v1.02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</si>
</sst>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
      <sz val="6"/>
      <name val="Meiryo UI"/>
      <family val="2"/>
      <charset val="128"/>
    </font>
    <font>
      <b/>
      <sz val="10"/>
      <color theme="1"/>
      <name val="Meiryo UI"/>
      <family val="3"/>
      <charset val="128"/>
    </font>
    <font>
      <sz val="20"/>
      <color theme="1"/>
      <name val="游ゴシック"/>
      <family val="2"/>
      <charset val="128"/>
      <scheme val="minor"/>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8">
    <xf numFmtId="0" fontId="0" fillId="0" borderId="0" xfId="0">
      <alignment vertic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lignment vertical="center"/>
    </xf>
    <xf numFmtId="0" fontId="0" fillId="0" borderId="1" xfId="0" applyFill="1" applyBorder="1" applyAlignment="1">
      <alignment horizontal="center" vertical="center"/>
    </xf>
    <xf numFmtId="0" fontId="0" fillId="0" borderId="0" xfId="0" applyFill="1" applyBorder="1">
      <alignment vertical="center"/>
    </xf>
    <xf numFmtId="0" fontId="0" fillId="0" borderId="0" xfId="0" applyFill="1" applyAlignment="1">
      <alignment horizontal="center"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Fill="1" applyBorder="1" applyAlignment="1">
      <alignment horizontal="center" vertical="top"/>
    </xf>
    <xf numFmtId="0" fontId="3" fillId="0" borderId="0" xfId="0" applyFont="1" applyFill="1" applyBorder="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2" xfId="0" applyFill="1" applyBorder="1" applyAlignment="1">
      <alignment horizontal="center"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Border="1" applyAlignment="1">
      <alignment horizontal="left" vertical="center" wrapText="1"/>
    </xf>
    <xf numFmtId="0" fontId="0" fillId="0" borderId="0" xfId="0" applyBorder="1" applyAlignment="1">
      <alignment vertical="center" wrapText="1"/>
    </xf>
    <xf numFmtId="0" fontId="0" fillId="0" borderId="1" xfId="0" applyFill="1" applyBorder="1" applyProtection="1">
      <alignment vertical="center"/>
    </xf>
    <xf numFmtId="0" fontId="0" fillId="4" borderId="1" xfId="0" applyFill="1" applyBorder="1" applyProtection="1">
      <alignment vertical="center"/>
    </xf>
    <xf numFmtId="0" fontId="0" fillId="5" borderId="1" xfId="0" applyFill="1" applyBorder="1" applyProtection="1">
      <alignment vertical="center"/>
    </xf>
    <xf numFmtId="0" fontId="0" fillId="6" borderId="1" xfId="0" applyFill="1" applyBorder="1" applyProtection="1">
      <alignment vertical="center"/>
    </xf>
    <xf numFmtId="0" fontId="0" fillId="7" borderId="1" xfId="0" applyFill="1" applyBorder="1" applyProtection="1">
      <alignment vertical="center"/>
    </xf>
    <xf numFmtId="0" fontId="0" fillId="8" borderId="1" xfId="0" applyFill="1" applyBorder="1" applyProtection="1">
      <alignment vertical="center"/>
    </xf>
    <xf numFmtId="0" fontId="0" fillId="2" borderId="1" xfId="0" applyFill="1" applyBorder="1" applyProtection="1">
      <alignment vertical="center"/>
    </xf>
    <xf numFmtId="0" fontId="0" fillId="15" borderId="1" xfId="0" applyFill="1" applyBorder="1" applyProtection="1">
      <alignment vertical="center"/>
    </xf>
    <xf numFmtId="0" fontId="0" fillId="16" borderId="1" xfId="0" applyFill="1" applyBorder="1" applyProtection="1">
      <alignment vertical="center"/>
    </xf>
    <xf numFmtId="0" fontId="0" fillId="17" borderId="1" xfId="0" applyFill="1" applyBorder="1" applyProtection="1">
      <alignment vertical="center"/>
    </xf>
    <xf numFmtId="0" fontId="0" fillId="18" borderId="1" xfId="0" applyFill="1" applyBorder="1" applyProtection="1">
      <alignment vertical="center"/>
    </xf>
    <xf numFmtId="0" fontId="0" fillId="19" borderId="1" xfId="0" applyFill="1" applyBorder="1" applyProtection="1">
      <alignment vertical="center"/>
    </xf>
    <xf numFmtId="0" fontId="0" fillId="20" borderId="1" xfId="0" applyFill="1" applyBorder="1" applyProtection="1">
      <alignment vertical="center"/>
    </xf>
    <xf numFmtId="0" fontId="0" fillId="21" borderId="1" xfId="0" applyFill="1" applyBorder="1" applyProtection="1">
      <alignment vertical="center"/>
    </xf>
    <xf numFmtId="0" fontId="0" fillId="22" borderId="1" xfId="0" applyFill="1" applyBorder="1" applyProtection="1">
      <alignment vertical="center"/>
    </xf>
    <xf numFmtId="0" fontId="0" fillId="23" borderId="1" xfId="0" applyFill="1" applyBorder="1" applyProtection="1">
      <alignment vertical="center"/>
    </xf>
    <xf numFmtId="0" fontId="0" fillId="24" borderId="1" xfId="0" applyFill="1" applyBorder="1" applyProtection="1">
      <alignment vertical="center"/>
    </xf>
    <xf numFmtId="0" fontId="0" fillId="25" borderId="1" xfId="0" applyFill="1" applyBorder="1" applyProtection="1">
      <alignment vertical="center"/>
    </xf>
    <xf numFmtId="0" fontId="0" fillId="26" borderId="1" xfId="0" applyFill="1" applyBorder="1" applyProtection="1">
      <alignment vertical="center"/>
    </xf>
    <xf numFmtId="0" fontId="0" fillId="27" borderId="1" xfId="0" applyFill="1" applyBorder="1" applyProtection="1">
      <alignment vertical="center"/>
    </xf>
    <xf numFmtId="0" fontId="0" fillId="28" borderId="1" xfId="0" applyFill="1" applyBorder="1" applyProtection="1">
      <alignment vertical="center"/>
    </xf>
    <xf numFmtId="0" fontId="0" fillId="29" borderId="1" xfId="0" applyFill="1" applyBorder="1" applyProtection="1">
      <alignment vertical="center"/>
    </xf>
    <xf numFmtId="0" fontId="0" fillId="30" borderId="1" xfId="0" applyFill="1" applyBorder="1" applyProtection="1">
      <alignment vertical="center"/>
    </xf>
    <xf numFmtId="0" fontId="0" fillId="31" borderId="1" xfId="0" applyFill="1" applyBorder="1" applyProtection="1">
      <alignment vertical="center"/>
    </xf>
    <xf numFmtId="0" fontId="0" fillId="32" borderId="1" xfId="0" applyFill="1" applyBorder="1" applyProtection="1">
      <alignment vertical="center"/>
    </xf>
    <xf numFmtId="0" fontId="0" fillId="33" borderId="1" xfId="0" applyFill="1" applyBorder="1" applyProtection="1">
      <alignment vertical="center"/>
    </xf>
    <xf numFmtId="0" fontId="0" fillId="34" borderId="1" xfId="0" applyFill="1" applyBorder="1" applyProtection="1">
      <alignment vertical="center"/>
    </xf>
    <xf numFmtId="0" fontId="0" fillId="35" borderId="1" xfId="0" applyFill="1" applyBorder="1" applyProtection="1">
      <alignment vertical="center"/>
    </xf>
    <xf numFmtId="0" fontId="0" fillId="36" borderId="1" xfId="0" applyFill="1" applyBorder="1" applyProtection="1">
      <alignment vertical="center"/>
    </xf>
    <xf numFmtId="0" fontId="0" fillId="37" borderId="1" xfId="0" applyFill="1" applyBorder="1" applyProtection="1">
      <alignment vertical="center"/>
    </xf>
    <xf numFmtId="0" fontId="0" fillId="38" borderId="1" xfId="0" applyFill="1" applyBorder="1" applyProtection="1">
      <alignment vertical="center"/>
    </xf>
    <xf numFmtId="0" fontId="0" fillId="39" borderId="1" xfId="0" applyFill="1" applyBorder="1" applyProtection="1">
      <alignment vertical="center"/>
    </xf>
    <xf numFmtId="0" fontId="0" fillId="14" borderId="1" xfId="0" applyFill="1" applyBorder="1" applyProtection="1">
      <alignment vertical="center"/>
    </xf>
    <xf numFmtId="0" fontId="0" fillId="11" borderId="1" xfId="0" applyFill="1" applyBorder="1" applyProtection="1">
      <alignment vertical="center"/>
    </xf>
    <xf numFmtId="0" fontId="0" fillId="9" borderId="1" xfId="0" applyFill="1" applyBorder="1" applyProtection="1">
      <alignment vertical="center"/>
    </xf>
    <xf numFmtId="0" fontId="0" fillId="10" borderId="1" xfId="0" applyFill="1" applyBorder="1" applyProtection="1">
      <alignment vertical="center"/>
    </xf>
    <xf numFmtId="0" fontId="0" fillId="3" borderId="1" xfId="0" applyFill="1" applyBorder="1" applyProtection="1">
      <alignment vertical="center"/>
    </xf>
    <xf numFmtId="0" fontId="0" fillId="12" borderId="1" xfId="0" applyFill="1" applyBorder="1" applyProtection="1">
      <alignment vertical="center"/>
    </xf>
    <xf numFmtId="0" fontId="0" fillId="13" borderId="1" xfId="0" applyFill="1" applyBorder="1" applyProtection="1">
      <alignment vertical="center"/>
    </xf>
    <xf numFmtId="0" fontId="0" fillId="40" borderId="1" xfId="0" applyFill="1" applyBorder="1" applyProtection="1">
      <alignment vertical="center"/>
    </xf>
    <xf numFmtId="0" fontId="0" fillId="41" borderId="1" xfId="0" applyFill="1" applyBorder="1" applyProtection="1">
      <alignment vertical="center"/>
    </xf>
    <xf numFmtId="0" fontId="0" fillId="42" borderId="1" xfId="0" applyFill="1" applyBorder="1" applyProtection="1">
      <alignment vertical="center"/>
    </xf>
    <xf numFmtId="0" fontId="0" fillId="43" borderId="1" xfId="0" applyFill="1" applyBorder="1" applyProtection="1">
      <alignment vertical="center"/>
    </xf>
    <xf numFmtId="0" fontId="0" fillId="44" borderId="1" xfId="0" applyFill="1" applyBorder="1" applyProtection="1">
      <alignment vertical="center"/>
    </xf>
    <xf numFmtId="0" fontId="0" fillId="45" borderId="1" xfId="0" applyFill="1" applyBorder="1" applyProtection="1">
      <alignment vertical="center"/>
    </xf>
    <xf numFmtId="0" fontId="0" fillId="46" borderId="1" xfId="0" applyFill="1" applyBorder="1" applyProtection="1">
      <alignment vertical="center"/>
    </xf>
    <xf numFmtId="0" fontId="0" fillId="47" borderId="1" xfId="0" applyFill="1" applyBorder="1" applyProtection="1">
      <alignment vertical="center"/>
    </xf>
    <xf numFmtId="0" fontId="0" fillId="48" borderId="1" xfId="0" applyFill="1" applyBorder="1" applyProtection="1">
      <alignment vertical="center"/>
    </xf>
    <xf numFmtId="0" fontId="0" fillId="49" borderId="1" xfId="0" applyFill="1" applyBorder="1" applyProtection="1">
      <alignment vertical="center"/>
    </xf>
    <xf numFmtId="0" fontId="0" fillId="50" borderId="1" xfId="0" applyFill="1" applyBorder="1" applyProtection="1">
      <alignment vertical="center"/>
    </xf>
    <xf numFmtId="0" fontId="0" fillId="51" borderId="1" xfId="0" applyFill="1" applyBorder="1" applyProtection="1">
      <alignment vertical="center"/>
    </xf>
    <xf numFmtId="0" fontId="0" fillId="52" borderId="1" xfId="0" applyFill="1" applyBorder="1" applyProtection="1">
      <alignment vertical="center"/>
    </xf>
    <xf numFmtId="0" fontId="0" fillId="53" borderId="1" xfId="0" applyFill="1" applyBorder="1" applyProtection="1">
      <alignment vertical="center"/>
    </xf>
    <xf numFmtId="0" fontId="0" fillId="54" borderId="1" xfId="0" applyFill="1" applyBorder="1" applyProtection="1">
      <alignment vertical="center"/>
    </xf>
    <xf numFmtId="0" fontId="0" fillId="55" borderId="1" xfId="0" applyFill="1" applyBorder="1" applyProtection="1">
      <alignment vertical="center"/>
    </xf>
    <xf numFmtId="0" fontId="0" fillId="56" borderId="1" xfId="0" applyFill="1" applyBorder="1" applyProtection="1">
      <alignment vertical="center"/>
    </xf>
    <xf numFmtId="0" fontId="0" fillId="57" borderId="1" xfId="0" applyFill="1" applyBorder="1" applyProtection="1">
      <alignment vertical="center"/>
    </xf>
    <xf numFmtId="0" fontId="0" fillId="0" borderId="0" xfId="0" applyProtection="1">
      <alignment vertical="center"/>
    </xf>
    <xf numFmtId="0" fontId="0" fillId="0" borderId="1" xfId="0" applyBorder="1" applyProtection="1">
      <alignment vertical="center"/>
    </xf>
    <xf numFmtId="0" fontId="0" fillId="58" borderId="1" xfId="0" applyFill="1" applyBorder="1" applyProtection="1">
      <alignmen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0" xfId="0" applyFill="1" applyBorder="1" applyProtection="1">
      <alignment vertical="center"/>
    </xf>
    <xf numFmtId="0" fontId="7"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14</xdr:row>
          <xdr:rowOff>152400</xdr:rowOff>
        </xdr:from>
        <xdr:to>
          <xdr:col>1</xdr:col>
          <xdr:colOff>2293620</xdr:colOff>
          <xdr:row>17</xdr:row>
          <xdr:rowOff>160020</xdr:rowOff>
        </xdr:to>
        <xdr:pic>
          <xdr:nvPicPr>
            <xdr:cNvPr id="3" name="図 2">
              <a:extLst>
                <a:ext uri="{FF2B5EF4-FFF2-40B4-BE49-F238E27FC236}">
                  <a16:creationId xmlns:a16="http://schemas.microsoft.com/office/drawing/2014/main" id="{2F293AAF-86A0-41C3-9ADA-17C2710E28C4}"/>
                </a:ext>
              </a:extLst>
            </xdr:cNvPr>
            <xdr:cNvPicPr>
              <a:picLocks noChangeAspect="1" noChangeArrowheads="1"/>
              <a:extLst>
                <a:ext uri="{84589F7E-364E-4C9E-8A38-B11213B215E9}">
                  <a14:cameraTool cellRange="設定!$B$14:$C$16" spid="_x0000_s1053"/>
                </a:ext>
              </a:extLst>
            </xdr:cNvPicPr>
          </xdr:nvPicPr>
          <xdr:blipFill>
            <a:blip xmlns:r="http://schemas.openxmlformats.org/officeDocument/2006/relationships" r:embed="rId1"/>
            <a:srcRect/>
            <a:stretch>
              <a:fillRect/>
            </a:stretch>
          </xdr:blipFill>
          <xdr:spPr bwMode="auto">
            <a:xfrm>
              <a:off x="609600" y="4655820"/>
              <a:ext cx="2156460" cy="693420"/>
            </a:xfrm>
            <a:prstGeom prst="rect">
              <a:avLst/>
            </a:prstGeom>
            <a:solidFill>
              <a:schemeClr val="bg1"/>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205740</xdr:colOff>
      <xdr:row>15</xdr:row>
      <xdr:rowOff>22860</xdr:rowOff>
    </xdr:from>
    <xdr:to>
      <xdr:col>16</xdr:col>
      <xdr:colOff>488342</xdr:colOff>
      <xdr:row>30</xdr:row>
      <xdr:rowOff>212050</xdr:rowOff>
    </xdr:to>
    <xdr:pic>
      <xdr:nvPicPr>
        <xdr:cNvPr id="2" name="図 1">
          <a:extLst>
            <a:ext uri="{FF2B5EF4-FFF2-40B4-BE49-F238E27FC236}">
              <a16:creationId xmlns:a16="http://schemas.microsoft.com/office/drawing/2014/main" id="{19DE0663-48FB-4A2A-AD0B-071BDA0A21D8}"/>
            </a:ext>
          </a:extLst>
        </xdr:cNvPr>
        <xdr:cNvPicPr>
          <a:picLocks noChangeAspect="1"/>
        </xdr:cNvPicPr>
      </xdr:nvPicPr>
      <xdr:blipFill>
        <a:blip xmlns:r="http://schemas.openxmlformats.org/officeDocument/2006/relationships" r:embed="rId1"/>
        <a:stretch>
          <a:fillRect/>
        </a:stretch>
      </xdr:blipFill>
      <xdr:spPr>
        <a:xfrm>
          <a:off x="5798820" y="3634740"/>
          <a:ext cx="5647082" cy="3618190"/>
        </a:xfrm>
        <a:prstGeom prst="rect">
          <a:avLst/>
        </a:prstGeom>
      </xdr:spPr>
    </xdr:pic>
    <xdr:clientData/>
  </xdr:twoCellAnchor>
  <xdr:twoCellAnchor>
    <xdr:from>
      <xdr:col>1</xdr:col>
      <xdr:colOff>76200</xdr:colOff>
      <xdr:row>4</xdr:row>
      <xdr:rowOff>99060</xdr:rowOff>
    </xdr:from>
    <xdr:to>
      <xdr:col>8</xdr:col>
      <xdr:colOff>365760</xdr:colOff>
      <xdr:row>13</xdr:row>
      <xdr:rowOff>15240</xdr:rowOff>
    </xdr:to>
    <xdr:sp macro="" textlink="">
      <xdr:nvSpPr>
        <xdr:cNvPr id="3" name="テキスト ボックス 2">
          <a:extLst>
            <a:ext uri="{FF2B5EF4-FFF2-40B4-BE49-F238E27FC236}">
              <a16:creationId xmlns:a16="http://schemas.microsoft.com/office/drawing/2014/main" id="{3443DFF0-524F-4956-9206-6D187618F2FB}"/>
            </a:ext>
          </a:extLst>
        </xdr:cNvPr>
        <xdr:cNvSpPr txBox="1"/>
      </xdr:nvSpPr>
      <xdr:spPr>
        <a:xfrm>
          <a:off x="746760" y="1196340"/>
          <a:ext cx="5212080" cy="1973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エクセルシートで２つの要素をメトリックス表記する、ということは仕事では頻繁に行われることです、よね。私もそうです。</a:t>
          </a:r>
          <a:endParaRPr kumimoji="1" lang="en-US" altLang="ja-JP" sz="1100"/>
        </a:p>
        <a:p>
          <a:r>
            <a:rPr kumimoji="1" lang="ja-JP" altLang="en-US" sz="1100"/>
            <a:t>小さいテーブルを使っているうちは特に困らないのですが、巨大なテーブルを扱うようになると選択中のセルがどの行と列なのかを判読がだんだん難しくなってきます。</a:t>
          </a:r>
          <a:endParaRPr kumimoji="1" lang="en-US" altLang="ja-JP" sz="1100"/>
        </a:p>
        <a:p>
          <a:r>
            <a:rPr kumimoji="1" lang="ja-JP" altLang="en-US" sz="1100"/>
            <a:t>選択中のセルに対して、水平と垂直に色が付くとよいのだけどなぁ、と思ったので・・・作ってみました、というエクセルマクロツールです。</a:t>
          </a:r>
        </a:p>
      </xdr:txBody>
    </xdr:sp>
    <xdr:clientData/>
  </xdr:twoCellAnchor>
  <xdr:twoCellAnchor>
    <xdr:from>
      <xdr:col>8</xdr:col>
      <xdr:colOff>373380</xdr:colOff>
      <xdr:row>16</xdr:row>
      <xdr:rowOff>15240</xdr:rowOff>
    </xdr:from>
    <xdr:to>
      <xdr:col>11</xdr:col>
      <xdr:colOff>487680</xdr:colOff>
      <xdr:row>22</xdr:row>
      <xdr:rowOff>114300</xdr:rowOff>
    </xdr:to>
    <xdr:sp macro="" textlink="">
      <xdr:nvSpPr>
        <xdr:cNvPr id="4" name="正方形/長方形 3">
          <a:extLst>
            <a:ext uri="{FF2B5EF4-FFF2-40B4-BE49-F238E27FC236}">
              <a16:creationId xmlns:a16="http://schemas.microsoft.com/office/drawing/2014/main" id="{D51AA89B-D06F-4BB9-8903-EC4AE161F4CA}"/>
            </a:ext>
          </a:extLst>
        </xdr:cNvPr>
        <xdr:cNvSpPr/>
      </xdr:nvSpPr>
      <xdr:spPr>
        <a:xfrm>
          <a:off x="5966460" y="3855720"/>
          <a:ext cx="2125980" cy="12420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586740</xdr:colOff>
      <xdr:row>16</xdr:row>
      <xdr:rowOff>22860</xdr:rowOff>
    </xdr:from>
    <xdr:to>
      <xdr:col>15</xdr:col>
      <xdr:colOff>403860</xdr:colOff>
      <xdr:row>22</xdr:row>
      <xdr:rowOff>121920</xdr:rowOff>
    </xdr:to>
    <xdr:sp macro="" textlink="">
      <xdr:nvSpPr>
        <xdr:cNvPr id="5" name="正方形/長方形 4">
          <a:extLst>
            <a:ext uri="{FF2B5EF4-FFF2-40B4-BE49-F238E27FC236}">
              <a16:creationId xmlns:a16="http://schemas.microsoft.com/office/drawing/2014/main" id="{2962CCE7-811F-431C-9780-7526BF797CAF}"/>
            </a:ext>
          </a:extLst>
        </xdr:cNvPr>
        <xdr:cNvSpPr/>
      </xdr:nvSpPr>
      <xdr:spPr>
        <a:xfrm>
          <a:off x="8191500" y="3863340"/>
          <a:ext cx="2499360" cy="1242060"/>
        </a:xfrm>
        <a:prstGeom prst="rect">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373380</xdr:colOff>
      <xdr:row>22</xdr:row>
      <xdr:rowOff>175260</xdr:rowOff>
    </xdr:from>
    <xdr:to>
      <xdr:col>11</xdr:col>
      <xdr:colOff>487680</xdr:colOff>
      <xdr:row>29</xdr:row>
      <xdr:rowOff>198120</xdr:rowOff>
    </xdr:to>
    <xdr:sp macro="" textlink="">
      <xdr:nvSpPr>
        <xdr:cNvPr id="6" name="正方形/長方形 5">
          <a:extLst>
            <a:ext uri="{FF2B5EF4-FFF2-40B4-BE49-F238E27FC236}">
              <a16:creationId xmlns:a16="http://schemas.microsoft.com/office/drawing/2014/main" id="{B01D655D-A567-41BE-AC27-FF0603D0DDAA}"/>
            </a:ext>
          </a:extLst>
        </xdr:cNvPr>
        <xdr:cNvSpPr/>
      </xdr:nvSpPr>
      <xdr:spPr>
        <a:xfrm>
          <a:off x="5966460" y="5158740"/>
          <a:ext cx="2125980" cy="1623060"/>
        </a:xfrm>
        <a:prstGeom prst="rect">
          <a:avLst/>
        </a:prstGeom>
        <a:no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160020</xdr:colOff>
      <xdr:row>13</xdr:row>
      <xdr:rowOff>152400</xdr:rowOff>
    </xdr:from>
    <xdr:to>
      <xdr:col>10</xdr:col>
      <xdr:colOff>220980</xdr:colOff>
      <xdr:row>15</xdr:row>
      <xdr:rowOff>182880</xdr:rowOff>
    </xdr:to>
    <xdr:sp macro="" textlink="">
      <xdr:nvSpPr>
        <xdr:cNvPr id="7" name="吹き出し: 角を丸めた四角形 6">
          <a:extLst>
            <a:ext uri="{FF2B5EF4-FFF2-40B4-BE49-F238E27FC236}">
              <a16:creationId xmlns:a16="http://schemas.microsoft.com/office/drawing/2014/main" id="{87E31C7C-5773-4B7C-8FF9-609BC0EDE328}"/>
            </a:ext>
          </a:extLst>
        </xdr:cNvPr>
        <xdr:cNvSpPr/>
      </xdr:nvSpPr>
      <xdr:spPr>
        <a:xfrm>
          <a:off x="6423660" y="3307080"/>
          <a:ext cx="731520" cy="487680"/>
        </a:xfrm>
        <a:prstGeom prst="wedgeRoundRectCallout">
          <a:avLst>
            <a:gd name="adj1" fmla="val -972"/>
            <a:gd name="adj2" fmla="val 96875"/>
            <a:gd name="adj3" fmla="val 16667"/>
          </a:avLst>
        </a:prstGeom>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領域３</a:t>
          </a:r>
        </a:p>
      </xdr:txBody>
    </xdr:sp>
    <xdr:clientData/>
  </xdr:twoCellAnchor>
  <xdr:twoCellAnchor>
    <xdr:from>
      <xdr:col>13</xdr:col>
      <xdr:colOff>121920</xdr:colOff>
      <xdr:row>13</xdr:row>
      <xdr:rowOff>129540</xdr:rowOff>
    </xdr:from>
    <xdr:to>
      <xdr:col>14</xdr:col>
      <xdr:colOff>182880</xdr:colOff>
      <xdr:row>15</xdr:row>
      <xdr:rowOff>160020</xdr:rowOff>
    </xdr:to>
    <xdr:sp macro="" textlink="">
      <xdr:nvSpPr>
        <xdr:cNvPr id="8" name="吹き出し: 角を丸めた四角形 7">
          <a:extLst>
            <a:ext uri="{FF2B5EF4-FFF2-40B4-BE49-F238E27FC236}">
              <a16:creationId xmlns:a16="http://schemas.microsoft.com/office/drawing/2014/main" id="{E20B89F4-4E60-4762-9B57-E57119C9186E}"/>
            </a:ext>
          </a:extLst>
        </xdr:cNvPr>
        <xdr:cNvSpPr/>
      </xdr:nvSpPr>
      <xdr:spPr>
        <a:xfrm>
          <a:off x="9067800" y="3284220"/>
          <a:ext cx="731520" cy="487680"/>
        </a:xfrm>
        <a:prstGeom prst="wedgeRoundRectCallout">
          <a:avLst>
            <a:gd name="adj1" fmla="val -972"/>
            <a:gd name="adj2" fmla="val 96875"/>
            <a:gd name="adj3" fmla="val 16667"/>
          </a:avLst>
        </a:prstGeom>
        <a:ln>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領域１</a:t>
          </a:r>
        </a:p>
      </xdr:txBody>
    </xdr:sp>
    <xdr:clientData/>
  </xdr:twoCellAnchor>
  <xdr:twoCellAnchor>
    <xdr:from>
      <xdr:col>9</xdr:col>
      <xdr:colOff>495300</xdr:colOff>
      <xdr:row>23</xdr:row>
      <xdr:rowOff>68580</xdr:rowOff>
    </xdr:from>
    <xdr:to>
      <xdr:col>10</xdr:col>
      <xdr:colOff>556260</xdr:colOff>
      <xdr:row>25</xdr:row>
      <xdr:rowOff>99060</xdr:rowOff>
    </xdr:to>
    <xdr:sp macro="" textlink="">
      <xdr:nvSpPr>
        <xdr:cNvPr id="9" name="吹き出し: 角を丸めた四角形 8">
          <a:extLst>
            <a:ext uri="{FF2B5EF4-FFF2-40B4-BE49-F238E27FC236}">
              <a16:creationId xmlns:a16="http://schemas.microsoft.com/office/drawing/2014/main" id="{A1F131E1-7189-4AB6-87FF-496EF38AC9E6}"/>
            </a:ext>
          </a:extLst>
        </xdr:cNvPr>
        <xdr:cNvSpPr/>
      </xdr:nvSpPr>
      <xdr:spPr>
        <a:xfrm>
          <a:off x="6758940" y="5280660"/>
          <a:ext cx="731520" cy="487680"/>
        </a:xfrm>
        <a:prstGeom prst="wedgeRoundRectCallout">
          <a:avLst>
            <a:gd name="adj1" fmla="val -972"/>
            <a:gd name="adj2" fmla="val 96875"/>
            <a:gd name="adj3" fmla="val 16667"/>
          </a:avLst>
        </a:prstGeom>
        <a:ln>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領域２</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tabSelected="1" workbookViewId="0"/>
  </sheetViews>
  <sheetFormatPr defaultColWidth="9" defaultRowHeight="18" x14ac:dyDescent="0.45"/>
  <cols>
    <col min="1" max="1" width="6.19921875" style="3" customWidth="1"/>
    <col min="2" max="2" width="32.796875" style="3" customWidth="1"/>
    <col min="3" max="13" width="4.59765625" style="6" customWidth="1"/>
    <col min="14" max="14" width="6.19921875" style="3" customWidth="1"/>
    <col min="15" max="16384" width="9" style="3"/>
  </cols>
  <sheetData>
    <row r="1" spans="1:14" x14ac:dyDescent="0.45">
      <c r="A1" s="7"/>
      <c r="B1" s="7" t="s">
        <v>27</v>
      </c>
      <c r="C1" s="9">
        <v>1</v>
      </c>
      <c r="D1" s="9">
        <v>2</v>
      </c>
      <c r="E1" s="9">
        <v>3</v>
      </c>
      <c r="F1" s="9">
        <v>4</v>
      </c>
      <c r="G1" s="9">
        <v>5</v>
      </c>
      <c r="H1" s="9">
        <v>6</v>
      </c>
      <c r="I1" s="9">
        <v>7</v>
      </c>
      <c r="J1" s="9">
        <v>8</v>
      </c>
      <c r="K1" s="9">
        <v>9</v>
      </c>
      <c r="L1" s="9">
        <v>10</v>
      </c>
      <c r="M1" s="9"/>
      <c r="N1" s="2" t="s">
        <v>1</v>
      </c>
    </row>
    <row r="2" spans="1:14" ht="120.75" customHeight="1" x14ac:dyDescent="0.45">
      <c r="A2" s="8" t="s">
        <v>0</v>
      </c>
      <c r="B2" s="8" t="s">
        <v>2</v>
      </c>
      <c r="C2" s="10" t="s">
        <v>3</v>
      </c>
      <c r="D2" s="10" t="s">
        <v>3</v>
      </c>
      <c r="E2" s="10" t="s">
        <v>3</v>
      </c>
      <c r="F2" s="10" t="s">
        <v>3</v>
      </c>
      <c r="G2" s="10" t="s">
        <v>3</v>
      </c>
      <c r="H2" s="10" t="s">
        <v>3</v>
      </c>
      <c r="I2" s="10" t="s">
        <v>3</v>
      </c>
      <c r="J2" s="10" t="s">
        <v>3</v>
      </c>
      <c r="K2" s="10" t="s">
        <v>3</v>
      </c>
      <c r="L2" s="10" t="s">
        <v>3</v>
      </c>
      <c r="M2" s="10" t="s">
        <v>30</v>
      </c>
      <c r="N2" s="13" t="s">
        <v>1</v>
      </c>
    </row>
    <row r="3" spans="1:14" x14ac:dyDescent="0.45">
      <c r="A3" s="11">
        <v>1</v>
      </c>
      <c r="B3" s="12" t="s">
        <v>4</v>
      </c>
      <c r="C3" s="4" t="s">
        <v>21</v>
      </c>
      <c r="D3" s="4"/>
      <c r="E3" s="4"/>
      <c r="F3" s="4"/>
      <c r="G3" s="4"/>
      <c r="H3" s="4"/>
      <c r="I3" s="4"/>
      <c r="J3" s="4"/>
      <c r="K3" s="4"/>
      <c r="L3" s="4"/>
      <c r="M3" s="4">
        <f xml:space="preserve"> + COUNTIF(C3:L3,"○") + COUNTIF(C3:L3,"？")</f>
        <v>1</v>
      </c>
      <c r="N3" s="2" t="s">
        <v>1</v>
      </c>
    </row>
    <row r="4" spans="1:14" x14ac:dyDescent="0.45">
      <c r="A4" s="11">
        <v>2</v>
      </c>
      <c r="B4" s="12" t="s">
        <v>5</v>
      </c>
      <c r="C4" s="4"/>
      <c r="D4" s="4" t="s">
        <v>28</v>
      </c>
      <c r="E4" s="4"/>
      <c r="F4" s="4"/>
      <c r="G4" s="4"/>
      <c r="H4" s="4"/>
      <c r="I4" s="4"/>
      <c r="J4" s="4"/>
      <c r="K4" s="4"/>
      <c r="L4" s="4"/>
      <c r="M4" s="4">
        <f xml:space="preserve"> + COUNTIF(C4:L4,"○") + COUNTIF(C4:L4,"？")</f>
        <v>1</v>
      </c>
      <c r="N4" s="2" t="s">
        <v>1</v>
      </c>
    </row>
    <row r="5" spans="1:14" x14ac:dyDescent="0.45">
      <c r="A5" s="11">
        <v>3</v>
      </c>
      <c r="B5" s="12" t="s">
        <v>6</v>
      </c>
      <c r="C5" s="4" t="s">
        <v>21</v>
      </c>
      <c r="D5" s="4"/>
      <c r="E5" s="4" t="s">
        <v>23</v>
      </c>
      <c r="F5" s="4" t="s">
        <v>21</v>
      </c>
      <c r="G5" s="4" t="s">
        <v>23</v>
      </c>
      <c r="H5" s="4"/>
      <c r="I5" s="4"/>
      <c r="J5" s="4"/>
      <c r="K5" s="4"/>
      <c r="L5" s="4"/>
      <c r="M5" s="4">
        <f xml:space="preserve"> + COUNTIF(C5:L5,"○") + COUNTIF(C5:L5,"？")</f>
        <v>2</v>
      </c>
      <c r="N5" s="2" t="s">
        <v>1</v>
      </c>
    </row>
    <row r="6" spans="1:14" x14ac:dyDescent="0.45">
      <c r="A6" s="11">
        <v>4</v>
      </c>
      <c r="B6" s="12" t="s">
        <v>7</v>
      </c>
      <c r="C6" s="4"/>
      <c r="D6" s="4"/>
      <c r="E6" s="4"/>
      <c r="F6" s="4" t="s">
        <v>25</v>
      </c>
      <c r="G6" s="4"/>
      <c r="H6" s="4"/>
      <c r="I6" s="4"/>
      <c r="J6" s="4" t="s">
        <v>21</v>
      </c>
      <c r="K6" s="4"/>
      <c r="L6" s="4"/>
      <c r="M6" s="4">
        <f xml:space="preserve"> + COUNTIF(C6:L6,"○") + COUNTIF(C6:L6,"？")</f>
        <v>1</v>
      </c>
      <c r="N6" s="2" t="s">
        <v>1</v>
      </c>
    </row>
    <row r="7" spans="1:14" x14ac:dyDescent="0.45">
      <c r="A7" s="11">
        <v>5</v>
      </c>
      <c r="B7" s="12" t="s">
        <v>8</v>
      </c>
      <c r="C7" s="4"/>
      <c r="D7" s="4"/>
      <c r="E7" s="4"/>
      <c r="F7" s="4"/>
      <c r="G7" s="4"/>
      <c r="H7" s="4" t="s">
        <v>21</v>
      </c>
      <c r="I7" s="4"/>
      <c r="J7" s="4"/>
      <c r="K7" s="4"/>
      <c r="L7" s="4"/>
      <c r="M7" s="4">
        <f xml:space="preserve"> + COUNTIF(C7:L7,"○") + COUNTIF(C7:L7,"？")</f>
        <v>1</v>
      </c>
      <c r="N7" s="2" t="s">
        <v>1</v>
      </c>
    </row>
    <row r="8" spans="1:14" x14ac:dyDescent="0.45">
      <c r="A8" s="11">
        <v>6</v>
      </c>
      <c r="B8" s="12" t="s">
        <v>9</v>
      </c>
      <c r="C8" s="4"/>
      <c r="D8" s="4" t="s">
        <v>21</v>
      </c>
      <c r="E8" s="4" t="s">
        <v>21</v>
      </c>
      <c r="F8" s="4"/>
      <c r="G8" s="4" t="s">
        <v>21</v>
      </c>
      <c r="H8" s="4" t="s">
        <v>49</v>
      </c>
      <c r="I8" s="4" t="s">
        <v>25</v>
      </c>
      <c r="J8" s="4"/>
      <c r="K8" s="4" t="s">
        <v>21</v>
      </c>
      <c r="L8" s="4"/>
      <c r="M8" s="4">
        <f xml:space="preserve"> + COUNTIF(C8:L8,"○") + COUNTIF(C8:L8,"？")</f>
        <v>5</v>
      </c>
      <c r="N8" s="2" t="s">
        <v>1</v>
      </c>
    </row>
    <row r="9" spans="1:14" x14ac:dyDescent="0.45">
      <c r="A9" s="11">
        <v>7</v>
      </c>
      <c r="B9" s="12" t="s">
        <v>10</v>
      </c>
      <c r="C9" s="4"/>
      <c r="D9" s="4" t="s">
        <v>21</v>
      </c>
      <c r="E9" s="4" t="s">
        <v>21</v>
      </c>
      <c r="F9" s="4" t="s">
        <v>22</v>
      </c>
      <c r="G9" s="4" t="s">
        <v>21</v>
      </c>
      <c r="H9" s="4"/>
      <c r="I9" s="4" t="s">
        <v>23</v>
      </c>
      <c r="J9" s="4"/>
      <c r="K9" s="4"/>
      <c r="L9" s="4"/>
      <c r="M9" s="4">
        <f xml:space="preserve"> + COUNTIF(C9:L9,"○") + COUNTIF(C9:L9,"？")</f>
        <v>4</v>
      </c>
      <c r="N9" s="2" t="s">
        <v>1</v>
      </c>
    </row>
    <row r="10" spans="1:14" x14ac:dyDescent="0.45">
      <c r="A10" s="11">
        <v>8</v>
      </c>
      <c r="B10" s="12" t="s">
        <v>11</v>
      </c>
      <c r="C10" s="4"/>
      <c r="D10" s="4"/>
      <c r="E10" s="4"/>
      <c r="F10" s="4"/>
      <c r="G10" s="4"/>
      <c r="H10" s="4"/>
      <c r="I10" s="4" t="s">
        <v>21</v>
      </c>
      <c r="J10" s="4"/>
      <c r="K10" s="4"/>
      <c r="L10" s="4"/>
      <c r="M10" s="4">
        <f xml:space="preserve"> + COUNTIF(C10:L10,"○") + COUNTIF(C10:L10,"？")</f>
        <v>1</v>
      </c>
      <c r="N10" s="2" t="s">
        <v>1</v>
      </c>
    </row>
    <row r="11" spans="1:14" x14ac:dyDescent="0.45">
      <c r="A11" s="11">
        <v>9</v>
      </c>
      <c r="B11" s="12" t="s">
        <v>12</v>
      </c>
      <c r="C11" s="4"/>
      <c r="D11" s="4"/>
      <c r="E11" s="4" t="s">
        <v>21</v>
      </c>
      <c r="F11" s="4"/>
      <c r="G11" s="4"/>
      <c r="H11" s="4"/>
      <c r="I11" s="4" t="s">
        <v>23</v>
      </c>
      <c r="J11" s="4" t="s">
        <v>21</v>
      </c>
      <c r="K11" s="4"/>
      <c r="L11" s="4"/>
      <c r="M11" s="4">
        <f xml:space="preserve"> + COUNTIF(C11:L11,"○") + COUNTIF(C11:L11,"？")</f>
        <v>2</v>
      </c>
      <c r="N11" s="2" t="s">
        <v>1</v>
      </c>
    </row>
    <row r="12" spans="1:14" x14ac:dyDescent="0.45">
      <c r="A12" s="15">
        <v>10</v>
      </c>
      <c r="B12" s="16" t="s">
        <v>13</v>
      </c>
      <c r="C12" s="17"/>
      <c r="D12" s="4" t="s">
        <v>21</v>
      </c>
      <c r="E12" s="17"/>
      <c r="F12" s="17" t="s">
        <v>49</v>
      </c>
      <c r="G12" s="17" t="s">
        <v>49</v>
      </c>
      <c r="H12" s="17"/>
      <c r="I12" s="17"/>
      <c r="J12" s="17"/>
      <c r="K12" s="17"/>
      <c r="L12" s="17"/>
      <c r="M12" s="4">
        <f xml:space="preserve"> + COUNTIF(C12:L12,"○") + COUNTIF(C12:L12,"？")</f>
        <v>3</v>
      </c>
      <c r="N12" s="2" t="s">
        <v>1</v>
      </c>
    </row>
    <row r="13" spans="1:14" x14ac:dyDescent="0.45">
      <c r="A13" s="11"/>
      <c r="B13" s="12" t="s">
        <v>30</v>
      </c>
      <c r="C13" s="4">
        <f xml:space="preserve"> + COUNTIF(C3:C12,"○") + COUNTIF(C3:C12,"？")</f>
        <v>2</v>
      </c>
      <c r="D13" s="4">
        <f xml:space="preserve"> + COUNTIF(D3:D12,"○") + COUNTIF(D3:D12,"？")</f>
        <v>4</v>
      </c>
      <c r="E13" s="4">
        <f xml:space="preserve"> + COUNTIF(E3:E12,"○") + COUNTIF(E3:E12,"？")</f>
        <v>3</v>
      </c>
      <c r="F13" s="4">
        <f xml:space="preserve"> + COUNTIF(F3:F12,"○") + COUNTIF(F3:F12,"？")</f>
        <v>3</v>
      </c>
      <c r="G13" s="4">
        <f xml:space="preserve"> + COUNTIF(G3:G12,"○") + COUNTIF(G3:G12,"？")</f>
        <v>3</v>
      </c>
      <c r="H13" s="4">
        <f xml:space="preserve"> + COUNTIF(H3:H12,"○") + COUNTIF(H3:H12,"？")</f>
        <v>2</v>
      </c>
      <c r="I13" s="4">
        <f xml:space="preserve"> + COUNTIF(I3:I12,"○") + COUNTIF(I3:I12,"？")</f>
        <v>1</v>
      </c>
      <c r="J13" s="4">
        <f xml:space="preserve"> + COUNTIF(J3:J12,"○") + COUNTIF(J3:J12,"？")</f>
        <v>2</v>
      </c>
      <c r="K13" s="4">
        <f xml:space="preserve"> + COUNTIF(K3:K12,"○") + COUNTIF(K3:K12,"？")</f>
        <v>1</v>
      </c>
      <c r="L13" s="4">
        <f xml:space="preserve"> + COUNTIF(L3:L12,"○") + COUNTIF(L3:L12,"？")</f>
        <v>0</v>
      </c>
      <c r="M13" s="4">
        <f>SUM(M3:M12)</f>
        <v>21</v>
      </c>
      <c r="N13" s="2" t="s">
        <v>29</v>
      </c>
    </row>
    <row r="14" spans="1:14" x14ac:dyDescent="0.45">
      <c r="A14" s="1" t="s">
        <v>1</v>
      </c>
      <c r="B14" s="14" t="s">
        <v>1</v>
      </c>
      <c r="C14" s="1" t="s">
        <v>1</v>
      </c>
      <c r="D14" s="1" t="s">
        <v>1</v>
      </c>
      <c r="E14" s="1" t="s">
        <v>1</v>
      </c>
      <c r="F14" s="1" t="s">
        <v>1</v>
      </c>
      <c r="G14" s="1" t="s">
        <v>1</v>
      </c>
      <c r="H14" s="1" t="s">
        <v>1</v>
      </c>
      <c r="I14" s="1" t="s">
        <v>1</v>
      </c>
      <c r="J14" s="1" t="s">
        <v>1</v>
      </c>
      <c r="K14" s="1" t="s">
        <v>1</v>
      </c>
      <c r="L14" s="1" t="s">
        <v>1</v>
      </c>
      <c r="M14" s="1" t="s">
        <v>29</v>
      </c>
      <c r="N14" s="5"/>
    </row>
  </sheetData>
  <autoFilter ref="A2:N14" xr:uid="{32C3CFD2-E593-443D-A5C7-0455A1A4AAE5}"/>
  <dataConsolidate/>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A2:R22"/>
  <sheetViews>
    <sheetView workbookViewId="0">
      <selection activeCell="E13" sqref="E13"/>
    </sheetView>
  </sheetViews>
  <sheetFormatPr defaultRowHeight="18" x14ac:dyDescent="0.45"/>
  <cols>
    <col min="2" max="2" width="14.59765625" customWidth="1"/>
    <col min="3" max="3" width="13.59765625" customWidth="1"/>
    <col min="5" max="6" width="20.19921875" bestFit="1" customWidth="1"/>
    <col min="8" max="17" width="4.59765625" customWidth="1"/>
  </cols>
  <sheetData>
    <row r="2" spans="1:18" x14ac:dyDescent="0.45">
      <c r="A2" s="80"/>
      <c r="B2" s="80"/>
      <c r="C2" s="80" t="s">
        <v>14</v>
      </c>
      <c r="D2" s="80"/>
      <c r="E2" s="80"/>
      <c r="F2" s="80"/>
      <c r="G2" t="s">
        <v>40</v>
      </c>
    </row>
    <row r="3" spans="1:18" x14ac:dyDescent="0.45">
      <c r="A3" s="80"/>
      <c r="B3" s="81" t="s">
        <v>15</v>
      </c>
      <c r="C3" s="57">
        <v>34</v>
      </c>
      <c r="D3" s="80"/>
      <c r="E3" s="80"/>
      <c r="F3" s="80"/>
      <c r="H3">
        <v>0</v>
      </c>
      <c r="I3">
        <v>1</v>
      </c>
      <c r="J3">
        <v>2</v>
      </c>
      <c r="K3">
        <v>3</v>
      </c>
      <c r="L3">
        <v>4</v>
      </c>
      <c r="M3">
        <v>5</v>
      </c>
      <c r="N3">
        <v>6</v>
      </c>
      <c r="O3">
        <v>7</v>
      </c>
      <c r="P3">
        <v>8</v>
      </c>
      <c r="Q3">
        <v>9</v>
      </c>
    </row>
    <row r="4" spans="1:18" x14ac:dyDescent="0.45">
      <c r="A4" s="80"/>
      <c r="B4" s="81" t="s">
        <v>16</v>
      </c>
      <c r="C4" s="60">
        <v>37</v>
      </c>
      <c r="D4" s="80"/>
      <c r="E4" s="80"/>
      <c r="F4" s="80"/>
      <c r="G4">
        <v>0</v>
      </c>
      <c r="H4" s="23">
        <f>$G4+H$3</f>
        <v>0</v>
      </c>
      <c r="I4" s="24">
        <f t="shared" ref="I4:Q4" si="0">$G4+I$3</f>
        <v>1</v>
      </c>
      <c r="J4" s="25">
        <f t="shared" si="0"/>
        <v>2</v>
      </c>
      <c r="K4" s="26">
        <f t="shared" si="0"/>
        <v>3</v>
      </c>
      <c r="L4" s="27">
        <f t="shared" si="0"/>
        <v>4</v>
      </c>
      <c r="M4" s="28">
        <f t="shared" si="0"/>
        <v>5</v>
      </c>
      <c r="N4" s="29">
        <f t="shared" si="0"/>
        <v>6</v>
      </c>
      <c r="O4" s="30">
        <f t="shared" si="0"/>
        <v>7</v>
      </c>
      <c r="P4" s="31">
        <f t="shared" si="0"/>
        <v>8</v>
      </c>
      <c r="Q4" s="32">
        <f t="shared" si="0"/>
        <v>9</v>
      </c>
      <c r="R4" s="3"/>
    </row>
    <row r="5" spans="1:18" x14ac:dyDescent="0.45">
      <c r="A5" s="80"/>
      <c r="B5" s="81" t="s">
        <v>17</v>
      </c>
      <c r="C5" s="60">
        <v>37</v>
      </c>
      <c r="D5" s="80"/>
      <c r="E5" s="80"/>
      <c r="F5" s="80"/>
      <c r="G5">
        <v>10</v>
      </c>
      <c r="H5" s="33">
        <f t="shared" ref="H5:Q9" si="1">$G5+H$3</f>
        <v>10</v>
      </c>
      <c r="I5" s="34">
        <f t="shared" si="1"/>
        <v>11</v>
      </c>
      <c r="J5" s="35">
        <f t="shared" si="1"/>
        <v>12</v>
      </c>
      <c r="K5" s="36">
        <f t="shared" si="1"/>
        <v>13</v>
      </c>
      <c r="L5" s="37">
        <f t="shared" si="1"/>
        <v>14</v>
      </c>
      <c r="M5" s="38">
        <f t="shared" si="1"/>
        <v>15</v>
      </c>
      <c r="N5" s="39">
        <f t="shared" si="1"/>
        <v>16</v>
      </c>
      <c r="O5" s="40">
        <f t="shared" si="1"/>
        <v>17</v>
      </c>
      <c r="P5" s="41">
        <f t="shared" si="1"/>
        <v>18</v>
      </c>
      <c r="Q5" s="42">
        <f t="shared" si="1"/>
        <v>19</v>
      </c>
      <c r="R5" s="3"/>
    </row>
    <row r="6" spans="1:18" x14ac:dyDescent="0.45">
      <c r="A6" s="80"/>
      <c r="B6" s="81"/>
      <c r="C6" s="81"/>
      <c r="D6" s="80"/>
      <c r="E6" s="80"/>
      <c r="F6" s="80"/>
      <c r="G6">
        <v>20</v>
      </c>
      <c r="H6" s="43">
        <f t="shared" si="1"/>
        <v>20</v>
      </c>
      <c r="I6" s="44">
        <f t="shared" si="1"/>
        <v>21</v>
      </c>
      <c r="J6" s="45">
        <f t="shared" si="1"/>
        <v>22</v>
      </c>
      <c r="K6" s="46">
        <f t="shared" si="1"/>
        <v>23</v>
      </c>
      <c r="L6" s="47">
        <f t="shared" si="1"/>
        <v>24</v>
      </c>
      <c r="M6" s="48">
        <f t="shared" si="1"/>
        <v>25</v>
      </c>
      <c r="N6" s="49">
        <f t="shared" si="1"/>
        <v>26</v>
      </c>
      <c r="O6" s="50">
        <f t="shared" si="1"/>
        <v>27</v>
      </c>
      <c r="P6" s="51">
        <f t="shared" si="1"/>
        <v>28</v>
      </c>
      <c r="Q6" s="52">
        <f t="shared" si="1"/>
        <v>29</v>
      </c>
      <c r="R6" s="3"/>
    </row>
    <row r="7" spans="1:18" x14ac:dyDescent="0.45">
      <c r="A7" s="80"/>
      <c r="B7" s="81" t="s">
        <v>18</v>
      </c>
      <c r="C7" s="29">
        <v>6</v>
      </c>
      <c r="D7" s="80"/>
      <c r="E7" s="80"/>
      <c r="F7" s="80"/>
      <c r="G7">
        <v>30</v>
      </c>
      <c r="H7" s="53">
        <f t="shared" si="1"/>
        <v>30</v>
      </c>
      <c r="I7" s="54">
        <f t="shared" si="1"/>
        <v>31</v>
      </c>
      <c r="J7" s="55">
        <f t="shared" si="1"/>
        <v>32</v>
      </c>
      <c r="K7" s="56">
        <f t="shared" si="1"/>
        <v>33</v>
      </c>
      <c r="L7" s="57">
        <f t="shared" si="1"/>
        <v>34</v>
      </c>
      <c r="M7" s="58">
        <f t="shared" si="1"/>
        <v>35</v>
      </c>
      <c r="N7" s="59">
        <f t="shared" si="1"/>
        <v>36</v>
      </c>
      <c r="O7" s="60">
        <f t="shared" si="1"/>
        <v>37</v>
      </c>
      <c r="P7" s="61">
        <f t="shared" si="1"/>
        <v>38</v>
      </c>
      <c r="Q7" s="62">
        <f t="shared" si="1"/>
        <v>39</v>
      </c>
      <c r="R7" s="3"/>
    </row>
    <row r="8" spans="1:18" x14ac:dyDescent="0.45">
      <c r="A8" s="80"/>
      <c r="B8" s="81" t="s">
        <v>19</v>
      </c>
      <c r="C8" s="59">
        <v>36</v>
      </c>
      <c r="D8" s="80"/>
      <c r="E8" s="80"/>
      <c r="F8" s="80"/>
      <c r="G8">
        <v>40</v>
      </c>
      <c r="H8" s="63">
        <f t="shared" si="1"/>
        <v>40</v>
      </c>
      <c r="I8" s="64">
        <f t="shared" si="1"/>
        <v>41</v>
      </c>
      <c r="J8" s="65">
        <f t="shared" si="1"/>
        <v>42</v>
      </c>
      <c r="K8" s="66">
        <f t="shared" si="1"/>
        <v>43</v>
      </c>
      <c r="L8" s="67">
        <f t="shared" si="1"/>
        <v>44</v>
      </c>
      <c r="M8" s="68">
        <f t="shared" si="1"/>
        <v>45</v>
      </c>
      <c r="N8" s="69">
        <f t="shared" si="1"/>
        <v>46</v>
      </c>
      <c r="O8" s="70">
        <f t="shared" si="1"/>
        <v>47</v>
      </c>
      <c r="P8" s="71">
        <f t="shared" si="1"/>
        <v>48</v>
      </c>
      <c r="Q8" s="72">
        <f t="shared" si="1"/>
        <v>49</v>
      </c>
      <c r="R8" s="3"/>
    </row>
    <row r="9" spans="1:18" x14ac:dyDescent="0.45">
      <c r="A9" s="80"/>
      <c r="B9" s="81" t="s">
        <v>20</v>
      </c>
      <c r="C9" s="59">
        <v>36</v>
      </c>
      <c r="D9" s="80"/>
      <c r="E9" s="80"/>
      <c r="F9" s="80"/>
      <c r="G9">
        <v>50</v>
      </c>
      <c r="H9" s="73">
        <f t="shared" si="1"/>
        <v>50</v>
      </c>
      <c r="I9" s="74">
        <f t="shared" si="1"/>
        <v>51</v>
      </c>
      <c r="J9" s="75">
        <f t="shared" si="1"/>
        <v>52</v>
      </c>
      <c r="K9" s="76">
        <f t="shared" si="1"/>
        <v>53</v>
      </c>
      <c r="L9" s="77">
        <f t="shared" si="1"/>
        <v>54</v>
      </c>
      <c r="M9" s="78">
        <f t="shared" si="1"/>
        <v>55</v>
      </c>
      <c r="N9" s="79">
        <f t="shared" si="1"/>
        <v>56</v>
      </c>
      <c r="O9" s="23"/>
      <c r="P9" s="23"/>
      <c r="Q9" s="23"/>
      <c r="R9" s="3"/>
    </row>
    <row r="10" spans="1:18" x14ac:dyDescent="0.45">
      <c r="A10" s="80"/>
      <c r="B10" s="80"/>
      <c r="C10" s="80"/>
      <c r="D10" s="80"/>
      <c r="E10" s="80"/>
      <c r="F10" s="80"/>
    </row>
    <row r="11" spans="1:18" x14ac:dyDescent="0.45">
      <c r="A11" s="80"/>
      <c r="B11" s="80"/>
      <c r="C11" s="80"/>
      <c r="D11" s="80"/>
      <c r="E11" s="80"/>
      <c r="F11" s="80"/>
    </row>
    <row r="12" spans="1:18" x14ac:dyDescent="0.45">
      <c r="A12" s="80"/>
      <c r="B12" s="80" t="s">
        <v>38</v>
      </c>
      <c r="C12" s="80"/>
      <c r="D12" s="80"/>
      <c r="E12" s="80" t="s">
        <v>71</v>
      </c>
      <c r="F12" s="80" t="s">
        <v>39</v>
      </c>
    </row>
    <row r="13" spans="1:18" x14ac:dyDescent="0.45">
      <c r="A13" s="80"/>
      <c r="B13" s="82"/>
      <c r="C13" s="80"/>
      <c r="D13" s="80"/>
      <c r="E13" s="82" t="str">
        <f>B14</f>
        <v>○</v>
      </c>
      <c r="F13" s="82" t="str">
        <f>B14</f>
        <v>○</v>
      </c>
    </row>
    <row r="14" spans="1:18" x14ac:dyDescent="0.45">
      <c r="A14" s="80"/>
      <c r="B14" s="82" t="s">
        <v>22</v>
      </c>
      <c r="C14" s="80" t="s">
        <v>31</v>
      </c>
      <c r="D14" s="80"/>
      <c r="E14" s="82" t="s">
        <v>50</v>
      </c>
      <c r="F14" s="82" t="str">
        <f>B15</f>
        <v>■</v>
      </c>
    </row>
    <row r="15" spans="1:18" x14ac:dyDescent="0.45">
      <c r="A15" s="80"/>
      <c r="B15" s="82" t="s">
        <v>24</v>
      </c>
      <c r="C15" s="80" t="s">
        <v>32</v>
      </c>
      <c r="D15" s="80"/>
      <c r="E15" s="82"/>
      <c r="F15" s="82" t="s">
        <v>50</v>
      </c>
    </row>
    <row r="16" spans="1:18" x14ac:dyDescent="0.45">
      <c r="A16" s="80"/>
      <c r="B16" s="82" t="s">
        <v>26</v>
      </c>
      <c r="C16" s="80" t="s">
        <v>33</v>
      </c>
      <c r="D16" s="80"/>
      <c r="E16" s="82"/>
      <c r="F16" s="82"/>
    </row>
    <row r="17" spans="1:6" x14ac:dyDescent="0.45">
      <c r="A17" s="80"/>
      <c r="B17" s="82" t="s">
        <v>50</v>
      </c>
      <c r="C17" s="86" t="s">
        <v>48</v>
      </c>
      <c r="D17" s="80"/>
      <c r="E17" s="82"/>
      <c r="F17" s="82"/>
    </row>
    <row r="18" spans="1:6" x14ac:dyDescent="0.45">
      <c r="A18" s="80"/>
      <c r="B18" s="82"/>
      <c r="C18" s="80"/>
      <c r="D18" s="80"/>
      <c r="E18" s="82"/>
      <c r="F18" s="82"/>
    </row>
    <row r="19" spans="1:6" x14ac:dyDescent="0.45">
      <c r="A19" s="80"/>
      <c r="B19" s="82"/>
      <c r="C19" s="80"/>
      <c r="D19" s="80"/>
      <c r="E19" s="82"/>
      <c r="F19" s="82"/>
    </row>
    <row r="20" spans="1:6" x14ac:dyDescent="0.45">
      <c r="A20" s="80"/>
      <c r="B20" s="82"/>
      <c r="C20" s="80"/>
      <c r="D20" s="80"/>
      <c r="E20" s="82"/>
      <c r="F20" s="82"/>
    </row>
    <row r="21" spans="1:6" x14ac:dyDescent="0.45">
      <c r="A21" s="80"/>
      <c r="B21" s="82"/>
      <c r="C21" s="80"/>
      <c r="D21" s="80"/>
      <c r="E21" s="82"/>
      <c r="F21" s="82"/>
    </row>
    <row r="22" spans="1:6" x14ac:dyDescent="0.45">
      <c r="A22" s="80"/>
      <c r="B22" s="82"/>
      <c r="C22" s="80"/>
      <c r="D22" s="80"/>
      <c r="E22" s="82"/>
      <c r="F22" s="82"/>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02DD5-4D86-494B-B53A-5C4DF350F788}">
  <sheetPr codeName="Sheet4"/>
  <dimension ref="B2:B42"/>
  <sheetViews>
    <sheetView workbookViewId="0">
      <selection activeCell="A2" sqref="A2"/>
    </sheetView>
  </sheetViews>
  <sheetFormatPr defaultRowHeight="18" x14ac:dyDescent="0.45"/>
  <cols>
    <col min="2" max="2" width="11.796875" customWidth="1"/>
  </cols>
  <sheetData>
    <row r="2" spans="2:2" ht="32.4" x14ac:dyDescent="0.45">
      <c r="B2" s="87" t="s">
        <v>63</v>
      </c>
    </row>
    <row r="4" spans="2:2" x14ac:dyDescent="0.45">
      <c r="B4" t="s">
        <v>75</v>
      </c>
    </row>
    <row r="16" spans="2:2" x14ac:dyDescent="0.45">
      <c r="B16" t="s">
        <v>64</v>
      </c>
    </row>
    <row r="17" spans="2:2" x14ac:dyDescent="0.45">
      <c r="B17" t="s">
        <v>68</v>
      </c>
    </row>
    <row r="18" spans="2:2" x14ac:dyDescent="0.45">
      <c r="B18" t="s">
        <v>76</v>
      </c>
    </row>
    <row r="19" spans="2:2" x14ac:dyDescent="0.45">
      <c r="B19" t="s">
        <v>81</v>
      </c>
    </row>
    <row r="20" spans="2:2" x14ac:dyDescent="0.45">
      <c r="B20" t="s">
        <v>80</v>
      </c>
    </row>
    <row r="21" spans="2:2" x14ac:dyDescent="0.45">
      <c r="B21" t="s">
        <v>78</v>
      </c>
    </row>
    <row r="22" spans="2:2" x14ac:dyDescent="0.45">
      <c r="B22" t="s">
        <v>77</v>
      </c>
    </row>
    <row r="23" spans="2:2" x14ac:dyDescent="0.45">
      <c r="B23" t="s">
        <v>79</v>
      </c>
    </row>
    <row r="25" spans="2:2" x14ac:dyDescent="0.45">
      <c r="B25" t="s">
        <v>82</v>
      </c>
    </row>
    <row r="26" spans="2:2" x14ac:dyDescent="0.45">
      <c r="B26" t="s">
        <v>83</v>
      </c>
    </row>
    <row r="27" spans="2:2" x14ac:dyDescent="0.45">
      <c r="B27" t="s">
        <v>84</v>
      </c>
    </row>
    <row r="33" spans="2:2" x14ac:dyDescent="0.45">
      <c r="B33" t="s">
        <v>66</v>
      </c>
    </row>
    <row r="34" spans="2:2" x14ac:dyDescent="0.45">
      <c r="B34" t="s">
        <v>67</v>
      </c>
    </row>
    <row r="35" spans="2:2" x14ac:dyDescent="0.45">
      <c r="B35" t="s">
        <v>85</v>
      </c>
    </row>
    <row r="37" spans="2:2" x14ac:dyDescent="0.45">
      <c r="B37" t="s">
        <v>65</v>
      </c>
    </row>
    <row r="38" spans="2:2" x14ac:dyDescent="0.45">
      <c r="B38" t="s">
        <v>74</v>
      </c>
    </row>
    <row r="39" spans="2:2" x14ac:dyDescent="0.45">
      <c r="B39" t="s">
        <v>70</v>
      </c>
    </row>
    <row r="40" spans="2:2" x14ac:dyDescent="0.45">
      <c r="B40" t="s">
        <v>69</v>
      </c>
    </row>
    <row r="41" spans="2:2" x14ac:dyDescent="0.45">
      <c r="B41" t="s">
        <v>73</v>
      </c>
    </row>
    <row r="42" spans="2:2" x14ac:dyDescent="0.45">
      <c r="B42" t="s">
        <v>72</v>
      </c>
    </row>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2:N30"/>
  <sheetViews>
    <sheetView workbookViewId="0"/>
  </sheetViews>
  <sheetFormatPr defaultRowHeight="18" x14ac:dyDescent="0.45"/>
  <cols>
    <col min="2" max="2" width="11" style="18" customWidth="1"/>
  </cols>
  <sheetData>
    <row r="2" spans="2:14" x14ac:dyDescent="0.45">
      <c r="B2" s="18" t="s">
        <v>44</v>
      </c>
      <c r="C2" s="18"/>
      <c r="D2" s="20"/>
      <c r="E2" s="20"/>
    </row>
    <row r="3" spans="2:14" ht="283.2" customHeight="1" x14ac:dyDescent="0.45">
      <c r="C3" s="83" t="s">
        <v>45</v>
      </c>
      <c r="D3" s="84"/>
      <c r="E3" s="84"/>
      <c r="F3" s="84"/>
      <c r="G3" s="84"/>
      <c r="H3" s="84"/>
      <c r="I3" s="84"/>
      <c r="J3" s="84"/>
      <c r="K3" s="84"/>
      <c r="L3" s="84"/>
      <c r="M3" s="85"/>
      <c r="N3" s="22"/>
    </row>
    <row r="4" spans="2:14" x14ac:dyDescent="0.45">
      <c r="C4" s="21"/>
      <c r="D4" s="21"/>
      <c r="E4" s="21"/>
    </row>
    <row r="5" spans="2:14" x14ac:dyDescent="0.45">
      <c r="B5" s="18" t="s">
        <v>36</v>
      </c>
      <c r="C5" t="s">
        <v>37</v>
      </c>
    </row>
    <row r="7" spans="2:14" x14ac:dyDescent="0.45">
      <c r="B7" s="18" t="s">
        <v>35</v>
      </c>
    </row>
    <row r="8" spans="2:14" x14ac:dyDescent="0.45">
      <c r="B8" s="19">
        <v>44044</v>
      </c>
      <c r="C8" t="s">
        <v>86</v>
      </c>
    </row>
    <row r="9" spans="2:14" x14ac:dyDescent="0.45">
      <c r="B9" s="19"/>
      <c r="C9" t="s">
        <v>52</v>
      </c>
    </row>
    <row r="10" spans="2:14" x14ac:dyDescent="0.45">
      <c r="B10" s="19"/>
      <c r="C10" t="s">
        <v>53</v>
      </c>
    </row>
    <row r="11" spans="2:14" x14ac:dyDescent="0.45">
      <c r="B11" s="19"/>
      <c r="C11" t="s">
        <v>55</v>
      </c>
    </row>
    <row r="12" spans="2:14" x14ac:dyDescent="0.45">
      <c r="B12" s="19"/>
      <c r="C12" t="s">
        <v>62</v>
      </c>
    </row>
    <row r="13" spans="2:14" x14ac:dyDescent="0.45">
      <c r="B13" s="19"/>
      <c r="C13" t="s">
        <v>54</v>
      </c>
    </row>
    <row r="14" spans="2:14" x14ac:dyDescent="0.45">
      <c r="B14" s="19"/>
    </row>
    <row r="15" spans="2:14" x14ac:dyDescent="0.45">
      <c r="B15" s="19">
        <v>44020</v>
      </c>
      <c r="C15" t="s">
        <v>43</v>
      </c>
    </row>
    <row r="16" spans="2:14" x14ac:dyDescent="0.45">
      <c r="B16" s="19"/>
      <c r="C16" t="s">
        <v>41</v>
      </c>
    </row>
    <row r="17" spans="2:3" x14ac:dyDescent="0.45">
      <c r="C17" t="s">
        <v>47</v>
      </c>
    </row>
    <row r="18" spans="2:3" x14ac:dyDescent="0.45">
      <c r="B18" s="19"/>
      <c r="C18" t="s">
        <v>46</v>
      </c>
    </row>
    <row r="19" spans="2:3" x14ac:dyDescent="0.45">
      <c r="B19" s="19"/>
    </row>
    <row r="20" spans="2:3" x14ac:dyDescent="0.45">
      <c r="B20" s="19">
        <v>43077</v>
      </c>
      <c r="C20" t="s">
        <v>42</v>
      </c>
    </row>
    <row r="21" spans="2:3" x14ac:dyDescent="0.45">
      <c r="C21" t="s">
        <v>34</v>
      </c>
    </row>
    <row r="23" spans="2:3" x14ac:dyDescent="0.45">
      <c r="B23" s="18" t="s">
        <v>51</v>
      </c>
    </row>
    <row r="24" spans="2:3" x14ac:dyDescent="0.45">
      <c r="B24" s="18" t="s">
        <v>61</v>
      </c>
    </row>
    <row r="26" spans="2:3" x14ac:dyDescent="0.45">
      <c r="B26" s="18" t="s">
        <v>56</v>
      </c>
    </row>
    <row r="27" spans="2:3" x14ac:dyDescent="0.45">
      <c r="B27" s="18" t="s">
        <v>57</v>
      </c>
    </row>
    <row r="28" spans="2:3" x14ac:dyDescent="0.45">
      <c r="B28" s="18" t="s">
        <v>58</v>
      </c>
    </row>
    <row r="29" spans="2:3" x14ac:dyDescent="0.45">
      <c r="B29" s="18" t="s">
        <v>59</v>
      </c>
    </row>
    <row r="30" spans="2:3" x14ac:dyDescent="0.45">
      <c r="B30" s="18" t="s">
        <v>60</v>
      </c>
    </row>
  </sheetData>
  <sheetProtection algorithmName="SHA-512" hashValue="YBeERFKDUJOY/AcXwjiu8GN4eTxAb2jHDEE3AZM6YbUG/vf2DqctLzQMwR6j4ms8VEcWkdSD1LwNX8lussuRsA==" saltValue="UaCoG7/EV4QDlcqQwcrxWA==" spinCount="100000" sheet="1" objects="1" scenarios="1"/>
  <mergeCells count="1">
    <mergeCell ref="C3:M3"/>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メトリックス</vt:lpstr>
      <vt:lpstr>設定</vt:lpstr>
      <vt:lpstr>使用方法</vt:lpstr>
      <vt:lpstr>ライセンス、変更履歴、他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 英俊</cp:lastModifiedBy>
  <dcterms:created xsi:type="dcterms:W3CDTF">2017-12-08T10:14:29Z</dcterms:created>
  <dcterms:modified xsi:type="dcterms:W3CDTF">2020-08-01T03:01:47Z</dcterms:modified>
</cp:coreProperties>
</file>